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640" yWindow="2955" windowWidth="17715" windowHeight="5085" activeTab="3"/>
  </bookViews>
  <sheets>
    <sheet name="plate 3" sheetId="1" r:id="rId1"/>
    <sheet name="plate 2" sheetId="2" r:id="rId2"/>
    <sheet name="plate 1" sheetId="3" r:id="rId3"/>
    <sheet name="summary" sheetId="4" r:id="rId4"/>
    <sheet name="t0" sheetId="5" r:id="rId5"/>
    <sheet name="Sheet2" sheetId="6" r:id="rId6"/>
  </sheets>
  <definedNames>
    <definedName name="_xlnm._FilterDatabase" localSheetId="3" hidden="1">summary!$A$1:$I$1</definedName>
  </definedNames>
  <calcPr calcId="145621"/>
</workbook>
</file>

<file path=xl/calcChain.xml><?xml version="1.0" encoding="utf-8"?>
<calcChain xmlns="http://schemas.openxmlformats.org/spreadsheetml/2006/main">
  <c r="D104" i="4" l="1"/>
  <c r="D103" i="4"/>
  <c r="D102" i="4"/>
  <c r="D101" i="4"/>
  <c r="J4" i="1" l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3" i="1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2" i="2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2" i="3"/>
  <c r="F17" i="4" l="1"/>
  <c r="F4" i="4"/>
  <c r="F56" i="4"/>
  <c r="F28" i="4"/>
  <c r="F76" i="4"/>
  <c r="F78" i="4"/>
  <c r="F67" i="4"/>
  <c r="F57" i="4"/>
  <c r="F40" i="4"/>
  <c r="F33" i="4"/>
  <c r="F36" i="4"/>
  <c r="F39" i="4"/>
  <c r="F46" i="4"/>
  <c r="F26" i="4"/>
  <c r="F61" i="4"/>
  <c r="F15" i="4"/>
  <c r="F49" i="4"/>
  <c r="F52" i="4"/>
  <c r="F71" i="4"/>
  <c r="F20" i="4"/>
  <c r="F27" i="4"/>
  <c r="F45" i="4"/>
  <c r="F10" i="4"/>
  <c r="F72" i="4"/>
  <c r="F35" i="4"/>
  <c r="F70" i="4"/>
  <c r="F48" i="4"/>
  <c r="F93" i="4"/>
  <c r="E14" i="4"/>
  <c r="E58" i="4"/>
  <c r="E13" i="4"/>
  <c r="E56" i="4"/>
  <c r="E55" i="4"/>
  <c r="E82" i="4"/>
  <c r="E51" i="4"/>
  <c r="E67" i="4"/>
  <c r="E3" i="4"/>
  <c r="E43" i="4"/>
  <c r="E21" i="4"/>
  <c r="E5" i="4"/>
  <c r="E19" i="4"/>
  <c r="E44" i="4"/>
  <c r="E31" i="4"/>
  <c r="E30" i="4"/>
  <c r="E15" i="4"/>
  <c r="E41" i="4"/>
  <c r="E60" i="4"/>
  <c r="E11" i="4"/>
  <c r="E86" i="4"/>
  <c r="E85" i="4"/>
  <c r="E12" i="4"/>
  <c r="E66" i="4"/>
  <c r="E81" i="4"/>
  <c r="E84" i="4"/>
  <c r="E35" i="4"/>
  <c r="E64" i="4"/>
  <c r="E96" i="4"/>
  <c r="E95" i="4"/>
  <c r="E88" i="4"/>
  <c r="D14" i="4"/>
  <c r="D42" i="4"/>
  <c r="D13" i="4"/>
  <c r="D55" i="4"/>
  <c r="D75" i="4"/>
  <c r="D51" i="4"/>
  <c r="D2" i="4"/>
  <c r="D5" i="4"/>
  <c r="D19" i="4"/>
  <c r="D47" i="4"/>
  <c r="D31" i="4"/>
  <c r="D69" i="4"/>
  <c r="D30" i="4"/>
  <c r="D79" i="4"/>
  <c r="D73" i="4"/>
  <c r="D11" i="4"/>
  <c r="D71" i="4"/>
  <c r="D7" i="4"/>
  <c r="D29" i="4"/>
  <c r="D16" i="4"/>
  <c r="D80" i="4"/>
  <c r="D63" i="4"/>
  <c r="D84" i="4"/>
  <c r="D70" i="4"/>
  <c r="D94" i="4"/>
  <c r="D95" i="4"/>
  <c r="D97" i="4"/>
  <c r="L3" i="1"/>
  <c r="D24" i="4" s="1"/>
  <c r="D3" i="3"/>
  <c r="D4" i="3"/>
  <c r="D5" i="3"/>
  <c r="D6" i="3"/>
  <c r="D7" i="3"/>
  <c r="L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2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M94" i="2"/>
  <c r="E93" i="4" s="1"/>
  <c r="D95" i="2"/>
  <c r="D96" i="2"/>
  <c r="D97" i="2"/>
  <c r="D2" i="2"/>
  <c r="L6" i="1"/>
  <c r="D25" i="4" s="1"/>
  <c r="L8" i="1"/>
  <c r="D4" i="4" s="1"/>
  <c r="L9" i="1"/>
  <c r="D58" i="4" s="1"/>
  <c r="H58" i="4" s="1"/>
  <c r="L10" i="1"/>
  <c r="L11" i="1"/>
  <c r="L14" i="1"/>
  <c r="D28" i="4" s="1"/>
  <c r="L16" i="1"/>
  <c r="D78" i="4" s="1"/>
  <c r="L17" i="1"/>
  <c r="D82" i="4" s="1"/>
  <c r="H82" i="4" s="1"/>
  <c r="L18" i="1"/>
  <c r="L19" i="1"/>
  <c r="L22" i="1"/>
  <c r="D87" i="4" s="1"/>
  <c r="L24" i="1"/>
  <c r="D57" i="4" s="1"/>
  <c r="L25" i="1"/>
  <c r="D43" i="4" s="1"/>
  <c r="L26" i="1"/>
  <c r="D54" i="4" s="1"/>
  <c r="L27" i="1"/>
  <c r="D83" i="4" s="1"/>
  <c r="L30" i="1"/>
  <c r="D77" i="4" s="1"/>
  <c r="L32" i="1"/>
  <c r="D18" i="4" s="1"/>
  <c r="L33" i="1"/>
  <c r="D90" i="4" s="1"/>
  <c r="L34" i="1"/>
  <c r="D59" i="4" s="1"/>
  <c r="L35" i="1"/>
  <c r="D50" i="4" s="1"/>
  <c r="L38" i="1"/>
  <c r="L40" i="1"/>
  <c r="D36" i="4" s="1"/>
  <c r="L41" i="1"/>
  <c r="D39" i="4" s="1"/>
  <c r="H39" i="4" s="1"/>
  <c r="L42" i="1"/>
  <c r="D44" i="4" s="1"/>
  <c r="L43" i="1"/>
  <c r="L46" i="1"/>
  <c r="L48" i="1"/>
  <c r="D89" i="4" s="1"/>
  <c r="L49" i="1"/>
  <c r="D61" i="4" s="1"/>
  <c r="L50" i="1"/>
  <c r="D68" i="4" s="1"/>
  <c r="L51" i="1"/>
  <c r="D22" i="4" s="1"/>
  <c r="L54" i="1"/>
  <c r="D41" i="4" s="1"/>
  <c r="L56" i="1"/>
  <c r="L57" i="1"/>
  <c r="D49" i="4" s="1"/>
  <c r="L58" i="1"/>
  <c r="D8" i="4" s="1"/>
  <c r="L59" i="1"/>
  <c r="D34" i="4" s="1"/>
  <c r="L62" i="1"/>
  <c r="L64" i="1"/>
  <c r="L65" i="1"/>
  <c r="D20" i="4" s="1"/>
  <c r="L66" i="1"/>
  <c r="D9" i="4" s="1"/>
  <c r="L67" i="1"/>
  <c r="L70" i="1"/>
  <c r="D85" i="4" s="1"/>
  <c r="L72" i="1"/>
  <c r="L73" i="1"/>
  <c r="D45" i="4" s="1"/>
  <c r="L74" i="1"/>
  <c r="D12" i="4" s="1"/>
  <c r="L75" i="1"/>
  <c r="L78" i="1"/>
  <c r="D81" i="4" s="1"/>
  <c r="L80" i="1"/>
  <c r="D38" i="4" s="1"/>
  <c r="L81" i="1"/>
  <c r="D72" i="4" s="1"/>
  <c r="L82" i="1"/>
  <c r="D65" i="4" s="1"/>
  <c r="L83" i="1"/>
  <c r="L86" i="1"/>
  <c r="D32" i="4" s="1"/>
  <c r="H32" i="4" s="1"/>
  <c r="L88" i="1"/>
  <c r="L89" i="1"/>
  <c r="D48" i="4" s="1"/>
  <c r="L90" i="1"/>
  <c r="D64" i="4" s="1"/>
  <c r="L91" i="1"/>
  <c r="D92" i="4" s="1"/>
  <c r="L94" i="1"/>
  <c r="L96" i="1"/>
  <c r="L97" i="1"/>
  <c r="D91" i="4" s="1"/>
  <c r="L98" i="1"/>
  <c r="D88" i="4" s="1"/>
  <c r="L4" i="1"/>
  <c r="D6" i="4" s="1"/>
  <c r="L5" i="1"/>
  <c r="L7" i="1"/>
  <c r="D17" i="4" s="1"/>
  <c r="L12" i="1"/>
  <c r="D56" i="4" s="1"/>
  <c r="H56" i="4" s="1"/>
  <c r="L13" i="1"/>
  <c r="L15" i="1"/>
  <c r="D76" i="4" s="1"/>
  <c r="L20" i="1"/>
  <c r="D67" i="4" s="1"/>
  <c r="L21" i="1"/>
  <c r="D3" i="4" s="1"/>
  <c r="L23" i="1"/>
  <c r="L28" i="1"/>
  <c r="D40" i="4" s="1"/>
  <c r="L29" i="1"/>
  <c r="D21" i="4" s="1"/>
  <c r="L31" i="1"/>
  <c r="D23" i="4" s="1"/>
  <c r="H23" i="4" s="1"/>
  <c r="L36" i="1"/>
  <c r="L37" i="1"/>
  <c r="D33" i="4" s="1"/>
  <c r="L39" i="1"/>
  <c r="D62" i="4" s="1"/>
  <c r="L44" i="1"/>
  <c r="L45" i="1"/>
  <c r="D46" i="4" s="1"/>
  <c r="H46" i="4" s="1"/>
  <c r="L47" i="1"/>
  <c r="D26" i="4" s="1"/>
  <c r="L52" i="1"/>
  <c r="L53" i="1"/>
  <c r="D15" i="4" s="1"/>
  <c r="L55" i="1"/>
  <c r="D37" i="4" s="1"/>
  <c r="L60" i="1"/>
  <c r="L61" i="1"/>
  <c r="D60" i="4" s="1"/>
  <c r="L63" i="1"/>
  <c r="D52" i="4" s="1"/>
  <c r="H52" i="4" s="1"/>
  <c r="L68" i="1"/>
  <c r="L69" i="1"/>
  <c r="D86" i="4" s="1"/>
  <c r="L71" i="1"/>
  <c r="D27" i="4" s="1"/>
  <c r="L76" i="1"/>
  <c r="D53" i="4" s="1"/>
  <c r="L77" i="1"/>
  <c r="D66" i="4" s="1"/>
  <c r="L79" i="1"/>
  <c r="D10" i="4" s="1"/>
  <c r="L84" i="1"/>
  <c r="L85" i="1"/>
  <c r="D35" i="4" s="1"/>
  <c r="L87" i="1"/>
  <c r="D74" i="4" s="1"/>
  <c r="L92" i="1"/>
  <c r="L93" i="1"/>
  <c r="D96" i="4" s="1"/>
  <c r="L95" i="1"/>
  <c r="D93" i="4" s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3" i="1"/>
  <c r="L80" i="3"/>
  <c r="L40" i="3"/>
  <c r="L8" i="3"/>
  <c r="F58" i="4" s="1"/>
  <c r="L87" i="3"/>
  <c r="L63" i="3"/>
  <c r="L55" i="3"/>
  <c r="F79" i="4" s="1"/>
  <c r="L31" i="3"/>
  <c r="F18" i="4" s="1"/>
  <c r="L15" i="3"/>
  <c r="L94" i="3"/>
  <c r="L62" i="3"/>
  <c r="L54" i="3"/>
  <c r="F37" i="4" s="1"/>
  <c r="L46" i="3"/>
  <c r="L38" i="3"/>
  <c r="F62" i="4" s="1"/>
  <c r="L30" i="3"/>
  <c r="F23" i="4" s="1"/>
  <c r="L22" i="3"/>
  <c r="F2" i="4" s="1"/>
  <c r="L14" i="3"/>
  <c r="L6" i="3"/>
  <c r="L85" i="3"/>
  <c r="F32" i="4" s="1"/>
  <c r="L69" i="3"/>
  <c r="F85" i="4" s="1"/>
  <c r="L53" i="3"/>
  <c r="F41" i="4" s="1"/>
  <c r="L45" i="3"/>
  <c r="F69" i="4" s="1"/>
  <c r="L21" i="3"/>
  <c r="F87" i="4" s="1"/>
  <c r="L5" i="3"/>
  <c r="F25" i="4" s="1"/>
  <c r="L97" i="3"/>
  <c r="F88" i="4" s="1"/>
  <c r="L89" i="3"/>
  <c r="F64" i="4" s="1"/>
  <c r="L81" i="3"/>
  <c r="F65" i="4" s="1"/>
  <c r="L73" i="3"/>
  <c r="F12" i="4" s="1"/>
  <c r="L65" i="3"/>
  <c r="F9" i="4" s="1"/>
  <c r="L57" i="3"/>
  <c r="F8" i="4" s="1"/>
  <c r="L49" i="3"/>
  <c r="F68" i="4" s="1"/>
  <c r="L41" i="3"/>
  <c r="F44" i="4" s="1"/>
  <c r="L33" i="3"/>
  <c r="F59" i="4" s="1"/>
  <c r="L25" i="3"/>
  <c r="F54" i="4" s="1"/>
  <c r="L17" i="3"/>
  <c r="F75" i="4" s="1"/>
  <c r="L9" i="3"/>
  <c r="F42" i="4" s="1"/>
  <c r="L64" i="3"/>
  <c r="L24" i="3"/>
  <c r="F43" i="4" s="1"/>
  <c r="L95" i="3"/>
  <c r="F97" i="4" s="1"/>
  <c r="L47" i="3"/>
  <c r="F89" i="4" s="1"/>
  <c r="L78" i="3"/>
  <c r="L61" i="3"/>
  <c r="F11" i="4" s="1"/>
  <c r="L13" i="3"/>
  <c r="L92" i="3"/>
  <c r="F96" i="4" s="1"/>
  <c r="L84" i="3"/>
  <c r="L76" i="3"/>
  <c r="F66" i="4" s="1"/>
  <c r="L68" i="3"/>
  <c r="F86" i="4" s="1"/>
  <c r="L60" i="3"/>
  <c r="F60" i="4" s="1"/>
  <c r="L52" i="3"/>
  <c r="L44" i="3"/>
  <c r="L36" i="3"/>
  <c r="L28" i="3"/>
  <c r="F21" i="4" s="1"/>
  <c r="L20" i="3"/>
  <c r="F3" i="4" s="1"/>
  <c r="L12" i="3"/>
  <c r="F55" i="4" s="1"/>
  <c r="L4" i="3"/>
  <c r="F14" i="4" s="1"/>
  <c r="L96" i="3"/>
  <c r="F91" i="4" s="1"/>
  <c r="L72" i="3"/>
  <c r="L48" i="3"/>
  <c r="L16" i="3"/>
  <c r="F82" i="4" s="1"/>
  <c r="L79" i="3"/>
  <c r="F38" i="4" s="1"/>
  <c r="L23" i="3"/>
  <c r="L86" i="3"/>
  <c r="F74" i="4" s="1"/>
  <c r="L93" i="3"/>
  <c r="F95" i="4" s="1"/>
  <c r="L37" i="3"/>
  <c r="F19" i="4" s="1"/>
  <c r="L91" i="3"/>
  <c r="F94" i="4" s="1"/>
  <c r="L83" i="3"/>
  <c r="F84" i="4" s="1"/>
  <c r="L75" i="3"/>
  <c r="F53" i="4" s="1"/>
  <c r="L67" i="3"/>
  <c r="F29" i="4" s="1"/>
  <c r="L59" i="3"/>
  <c r="F73" i="4" s="1"/>
  <c r="L51" i="3"/>
  <c r="F30" i="4" s="1"/>
  <c r="L43" i="3"/>
  <c r="F31" i="4" s="1"/>
  <c r="L35" i="3"/>
  <c r="F5" i="4" s="1"/>
  <c r="L27" i="3"/>
  <c r="L19" i="3"/>
  <c r="L11" i="3"/>
  <c r="L3" i="3"/>
  <c r="F6" i="4" s="1"/>
  <c r="L88" i="3"/>
  <c r="L56" i="3"/>
  <c r="L32" i="3"/>
  <c r="F90" i="4" s="1"/>
  <c r="L71" i="3"/>
  <c r="F16" i="4" s="1"/>
  <c r="L39" i="3"/>
  <c r="L70" i="3"/>
  <c r="L77" i="3"/>
  <c r="F81" i="4" s="1"/>
  <c r="L29" i="3"/>
  <c r="F77" i="4" s="1"/>
  <c r="L2" i="3"/>
  <c r="F24" i="4" s="1"/>
  <c r="L90" i="3"/>
  <c r="F92" i="4" s="1"/>
  <c r="L82" i="3"/>
  <c r="F63" i="4" s="1"/>
  <c r="L74" i="3"/>
  <c r="F80" i="4" s="1"/>
  <c r="L66" i="3"/>
  <c r="F7" i="4" s="1"/>
  <c r="L58" i="3"/>
  <c r="F34" i="4" s="1"/>
  <c r="L50" i="3"/>
  <c r="F22" i="4" s="1"/>
  <c r="L42" i="3"/>
  <c r="F47" i="4" s="1"/>
  <c r="L34" i="3"/>
  <c r="F50" i="4" s="1"/>
  <c r="L26" i="3"/>
  <c r="F83" i="4" s="1"/>
  <c r="L18" i="3"/>
  <c r="F51" i="4" s="1"/>
  <c r="L10" i="3"/>
  <c r="F13" i="4" s="1"/>
  <c r="M97" i="2"/>
  <c r="M65" i="2"/>
  <c r="E9" i="4" s="1"/>
  <c r="M57" i="2"/>
  <c r="E8" i="4" s="1"/>
  <c r="M49" i="2"/>
  <c r="E68" i="4" s="1"/>
  <c r="M41" i="2"/>
  <c r="M9" i="2"/>
  <c r="E42" i="4" s="1"/>
  <c r="M96" i="2"/>
  <c r="E91" i="4" s="1"/>
  <c r="M88" i="2"/>
  <c r="E48" i="4" s="1"/>
  <c r="M80" i="2"/>
  <c r="E72" i="4" s="1"/>
  <c r="M72" i="2"/>
  <c r="E45" i="4" s="1"/>
  <c r="M40" i="2"/>
  <c r="E39" i="4" s="1"/>
  <c r="M32" i="2"/>
  <c r="E90" i="4" s="1"/>
  <c r="M24" i="2"/>
  <c r="M16" i="2"/>
  <c r="M8" i="2"/>
  <c r="M95" i="2"/>
  <c r="E97" i="4" s="1"/>
  <c r="M87" i="2"/>
  <c r="E70" i="4" s="1"/>
  <c r="M79" i="2"/>
  <c r="E38" i="4" s="1"/>
  <c r="M71" i="2"/>
  <c r="E16" i="4" s="1"/>
  <c r="M63" i="2"/>
  <c r="E71" i="4" s="1"/>
  <c r="M55" i="2"/>
  <c r="E79" i="4" s="1"/>
  <c r="M47" i="2"/>
  <c r="E89" i="4" s="1"/>
  <c r="M39" i="2"/>
  <c r="E36" i="4" s="1"/>
  <c r="M31" i="2"/>
  <c r="E18" i="4" s="1"/>
  <c r="M23" i="2"/>
  <c r="E57" i="4" s="1"/>
  <c r="M15" i="2"/>
  <c r="E78" i="4" s="1"/>
  <c r="M7" i="2"/>
  <c r="E4" i="4" s="1"/>
  <c r="M86" i="2"/>
  <c r="E74" i="4" s="1"/>
  <c r="M78" i="2"/>
  <c r="E10" i="4" s="1"/>
  <c r="M70" i="2"/>
  <c r="E27" i="4" s="1"/>
  <c r="M62" i="2"/>
  <c r="E52" i="4" s="1"/>
  <c r="M54" i="2"/>
  <c r="E37" i="4" s="1"/>
  <c r="M46" i="2"/>
  <c r="E26" i="4" s="1"/>
  <c r="M38" i="2"/>
  <c r="E62" i="4" s="1"/>
  <c r="M30" i="2"/>
  <c r="E23" i="4" s="1"/>
  <c r="M22" i="2"/>
  <c r="E2" i="4" s="1"/>
  <c r="M14" i="2"/>
  <c r="E76" i="4" s="1"/>
  <c r="M6" i="2"/>
  <c r="E17" i="4" s="1"/>
  <c r="M73" i="2"/>
  <c r="M17" i="2"/>
  <c r="E75" i="4" s="1"/>
  <c r="M56" i="2"/>
  <c r="E49" i="4" s="1"/>
  <c r="M93" i="2"/>
  <c r="M69" i="2"/>
  <c r="M45" i="2"/>
  <c r="E69" i="4" s="1"/>
  <c r="M21" i="2"/>
  <c r="E87" i="4" s="1"/>
  <c r="M84" i="2"/>
  <c r="M76" i="2"/>
  <c r="M68" i="2"/>
  <c r="M60" i="2"/>
  <c r="M52" i="2"/>
  <c r="M44" i="2"/>
  <c r="E46" i="4" s="1"/>
  <c r="M36" i="2"/>
  <c r="E33" i="4" s="1"/>
  <c r="M28" i="2"/>
  <c r="M20" i="2"/>
  <c r="M12" i="2"/>
  <c r="M4" i="2"/>
  <c r="M89" i="2"/>
  <c r="M25" i="2"/>
  <c r="E54" i="4" s="1"/>
  <c r="M64" i="2"/>
  <c r="E20" i="4" s="1"/>
  <c r="M85" i="2"/>
  <c r="E32" i="4" s="1"/>
  <c r="M61" i="2"/>
  <c r="M37" i="2"/>
  <c r="M13" i="2"/>
  <c r="E28" i="4" s="1"/>
  <c r="M91" i="2"/>
  <c r="E94" i="4" s="1"/>
  <c r="M83" i="2"/>
  <c r="M75" i="2"/>
  <c r="E53" i="4" s="1"/>
  <c r="M67" i="2"/>
  <c r="E29" i="4" s="1"/>
  <c r="M59" i="2"/>
  <c r="E73" i="4" s="1"/>
  <c r="M51" i="2"/>
  <c r="M43" i="2"/>
  <c r="M35" i="2"/>
  <c r="M27" i="2"/>
  <c r="E40" i="4" s="1"/>
  <c r="M19" i="2"/>
  <c r="M11" i="2"/>
  <c r="M3" i="2"/>
  <c r="E6" i="4" s="1"/>
  <c r="M81" i="2"/>
  <c r="E65" i="4" s="1"/>
  <c r="M33" i="2"/>
  <c r="E59" i="4" s="1"/>
  <c r="M48" i="2"/>
  <c r="E61" i="4" s="1"/>
  <c r="M77" i="2"/>
  <c r="M53" i="2"/>
  <c r="M29" i="2"/>
  <c r="E77" i="4" s="1"/>
  <c r="M5" i="2"/>
  <c r="E25" i="4" s="1"/>
  <c r="M2" i="2"/>
  <c r="E24" i="4" s="1"/>
  <c r="M90" i="2"/>
  <c r="E92" i="4" s="1"/>
  <c r="M82" i="2"/>
  <c r="E63" i="4" s="1"/>
  <c r="M74" i="2"/>
  <c r="E80" i="4" s="1"/>
  <c r="M66" i="2"/>
  <c r="E7" i="4" s="1"/>
  <c r="M58" i="2"/>
  <c r="E34" i="4" s="1"/>
  <c r="M50" i="2"/>
  <c r="E22" i="4" s="1"/>
  <c r="M42" i="2"/>
  <c r="E47" i="4" s="1"/>
  <c r="M34" i="2"/>
  <c r="E50" i="4" s="1"/>
  <c r="M26" i="2"/>
  <c r="E83" i="4" s="1"/>
  <c r="M18" i="2"/>
  <c r="M10" i="2"/>
  <c r="H37" i="4" l="1"/>
  <c r="H6" i="4"/>
  <c r="H72" i="4"/>
  <c r="H12" i="4"/>
  <c r="H44" i="4"/>
  <c r="H50" i="4"/>
  <c r="H77" i="4"/>
  <c r="H57" i="4"/>
  <c r="H95" i="4"/>
  <c r="H63" i="4"/>
  <c r="H7" i="4"/>
  <c r="H79" i="4"/>
  <c r="H51" i="4"/>
  <c r="H66" i="4"/>
  <c r="H61" i="4"/>
  <c r="H42" i="4"/>
  <c r="H35" i="4"/>
  <c r="H88" i="4"/>
  <c r="H38" i="4"/>
  <c r="H34" i="4"/>
  <c r="H89" i="4"/>
  <c r="H83" i="4"/>
  <c r="H94" i="4"/>
  <c r="H80" i="4"/>
  <c r="H71" i="4"/>
  <c r="H30" i="4"/>
  <c r="H19" i="4"/>
  <c r="H75" i="4"/>
  <c r="H14" i="4"/>
  <c r="H93" i="4"/>
  <c r="H9" i="4"/>
  <c r="H41" i="4"/>
  <c r="H59" i="4"/>
  <c r="H78" i="4"/>
  <c r="H96" i="4"/>
  <c r="H27" i="4"/>
  <c r="H60" i="4"/>
  <c r="H62" i="4"/>
  <c r="H21" i="4"/>
  <c r="H67" i="4"/>
  <c r="H17" i="4"/>
  <c r="H91" i="4"/>
  <c r="H64" i="4"/>
  <c r="H81" i="4"/>
  <c r="H20" i="4"/>
  <c r="H8" i="4"/>
  <c r="H22" i="4"/>
  <c r="H36" i="4"/>
  <c r="H90" i="4"/>
  <c r="H54" i="4"/>
  <c r="H28" i="4"/>
  <c r="H4" i="4"/>
  <c r="H24" i="4"/>
  <c r="H70" i="4"/>
  <c r="H16" i="4"/>
  <c r="H11" i="4"/>
  <c r="H69" i="4"/>
  <c r="H5" i="4"/>
  <c r="H55" i="4"/>
  <c r="H74" i="4"/>
  <c r="H47" i="4"/>
  <c r="H53" i="4"/>
  <c r="H15" i="4"/>
  <c r="H3" i="4"/>
  <c r="H92" i="4"/>
  <c r="H45" i="4"/>
  <c r="H87" i="4"/>
  <c r="H10" i="4"/>
  <c r="H86" i="4"/>
  <c r="H26" i="4"/>
  <c r="H33" i="4"/>
  <c r="H40" i="4"/>
  <c r="H76" i="4"/>
  <c r="H48" i="4"/>
  <c r="H65" i="4"/>
  <c r="H85" i="4"/>
  <c r="H49" i="4"/>
  <c r="H68" i="4"/>
  <c r="H18" i="4"/>
  <c r="H43" i="4"/>
  <c r="H25" i="4"/>
  <c r="H97" i="4"/>
  <c r="H84" i="4"/>
  <c r="H29" i="4"/>
  <c r="H73" i="4"/>
  <c r="H31" i="4"/>
  <c r="H2" i="4"/>
  <c r="H13" i="4"/>
  <c r="I50" i="4"/>
  <c r="G12" i="4"/>
  <c r="G43" i="4"/>
  <c r="I70" i="4"/>
  <c r="I32" i="4"/>
  <c r="I59" i="4"/>
  <c r="G97" i="4"/>
  <c r="G72" i="4"/>
  <c r="G18" i="4"/>
  <c r="I14" i="4"/>
  <c r="G61" i="4"/>
  <c r="I89" i="4"/>
  <c r="G17" i="4"/>
  <c r="I18" i="4"/>
  <c r="I85" i="4"/>
  <c r="I97" i="4"/>
  <c r="G71" i="4"/>
  <c r="I76" i="4"/>
  <c r="G25" i="4"/>
  <c r="I46" i="4"/>
  <c r="I91" i="4"/>
  <c r="G15" i="4"/>
  <c r="G39" i="4"/>
  <c r="I61" i="4"/>
  <c r="G53" i="4"/>
  <c r="G73" i="4"/>
  <c r="I83" i="4"/>
  <c r="I13" i="4"/>
  <c r="G91" i="4"/>
  <c r="G20" i="4"/>
  <c r="I10" i="4"/>
  <c r="G79" i="4"/>
  <c r="G89" i="4"/>
  <c r="I63" i="4"/>
  <c r="I80" i="4"/>
  <c r="G90" i="4"/>
  <c r="I52" i="4"/>
  <c r="I37" i="4"/>
  <c r="I39" i="4"/>
  <c r="I79" i="4"/>
  <c r="G2" i="4"/>
  <c r="G70" i="4"/>
  <c r="I12" i="4"/>
  <c r="G76" i="4"/>
  <c r="G41" i="4"/>
  <c r="I66" i="4"/>
  <c r="G56" i="4"/>
  <c r="G32" i="4"/>
  <c r="G81" i="4"/>
  <c r="G44" i="4"/>
  <c r="G59" i="4"/>
  <c r="I51" i="4"/>
  <c r="G86" i="4"/>
  <c r="G60" i="4"/>
  <c r="G47" i="4"/>
  <c r="I75" i="4"/>
  <c r="G68" i="4"/>
  <c r="G80" i="4"/>
  <c r="I58" i="4"/>
  <c r="I48" i="4"/>
  <c r="G4" i="4"/>
  <c r="I44" i="4"/>
  <c r="G13" i="4"/>
  <c r="I25" i="4"/>
  <c r="I29" i="4"/>
  <c r="I41" i="4"/>
  <c r="I42" i="4"/>
  <c r="I24" i="4"/>
  <c r="G75" i="4"/>
  <c r="G96" i="4"/>
  <c r="G74" i="4"/>
  <c r="I38" i="4"/>
  <c r="G7" i="4"/>
  <c r="I26" i="4"/>
  <c r="G83" i="4"/>
  <c r="G3" i="4"/>
  <c r="I9" i="4"/>
  <c r="G58" i="4"/>
  <c r="I88" i="4"/>
  <c r="G29" i="4"/>
  <c r="I94" i="4"/>
  <c r="G34" i="4"/>
  <c r="I15" i="4"/>
  <c r="G69" i="4"/>
  <c r="G28" i="4"/>
  <c r="I4" i="4"/>
  <c r="I45" i="4"/>
  <c r="I20" i="4"/>
  <c r="G49" i="4"/>
  <c r="G78" i="4"/>
  <c r="G51" i="4"/>
  <c r="G24" i="4"/>
  <c r="G22" i="4"/>
  <c r="I93" i="4"/>
  <c r="I17" i="4"/>
  <c r="G88" i="4"/>
  <c r="I35" i="4"/>
  <c r="I16" i="4"/>
  <c r="I8" i="4"/>
  <c r="I19" i="4"/>
  <c r="I43" i="4"/>
  <c r="I56" i="4"/>
  <c r="G95" i="4"/>
  <c r="G26" i="4"/>
  <c r="G62" i="4"/>
  <c r="I87" i="4"/>
  <c r="I28" i="4"/>
  <c r="I49" i="4"/>
  <c r="G84" i="4"/>
  <c r="I92" i="4"/>
  <c r="G23" i="4"/>
  <c r="I64" i="4"/>
  <c r="I84" i="4"/>
  <c r="I31" i="4"/>
  <c r="I33" i="4"/>
  <c r="I21" i="4"/>
  <c r="I69" i="4"/>
  <c r="G19" i="4"/>
  <c r="G21" i="4"/>
  <c r="I62" i="4"/>
  <c r="I47" i="4"/>
  <c r="I11" i="4"/>
  <c r="G14" i="4"/>
  <c r="I22" i="4"/>
  <c r="I90" i="4"/>
  <c r="G48" i="4"/>
  <c r="G63" i="4"/>
  <c r="I53" i="4"/>
  <c r="G85" i="4"/>
  <c r="G11" i="4"/>
  <c r="G5" i="4"/>
  <c r="I82" i="4"/>
  <c r="I6" i="4"/>
  <c r="G33" i="4"/>
  <c r="I27" i="4"/>
  <c r="G16" i="4"/>
  <c r="G42" i="4"/>
  <c r="G10" i="4"/>
  <c r="G36" i="4"/>
  <c r="G9" i="4"/>
  <c r="I30" i="4"/>
  <c r="G57" i="4"/>
  <c r="G67" i="4"/>
  <c r="I78" i="4"/>
  <c r="G37" i="4"/>
  <c r="G65" i="4"/>
  <c r="G35" i="4"/>
  <c r="G38" i="4"/>
  <c r="I72" i="4"/>
  <c r="I7" i="4"/>
  <c r="I36" i="4"/>
  <c r="I2" i="4"/>
  <c r="I77" i="4"/>
  <c r="I96" i="4"/>
  <c r="G40" i="4"/>
  <c r="I3" i="4"/>
  <c r="I65" i="4"/>
  <c r="I60" i="4"/>
  <c r="G27" i="4"/>
  <c r="G82" i="4"/>
  <c r="G31" i="4"/>
  <c r="G92" i="4"/>
  <c r="G66" i="4"/>
  <c r="I74" i="4"/>
  <c r="I68" i="4"/>
  <c r="I5" i="4"/>
  <c r="G77" i="4"/>
  <c r="I81" i="4"/>
  <c r="G8" i="4"/>
  <c r="I57" i="4"/>
  <c r="I40" i="4"/>
  <c r="I71" i="4"/>
  <c r="G30" i="4"/>
  <c r="G94" i="4"/>
  <c r="I86" i="4"/>
  <c r="I73" i="4"/>
  <c r="G87" i="4"/>
  <c r="G93" i="4"/>
  <c r="G50" i="4"/>
  <c r="I95" i="4"/>
  <c r="G55" i="4"/>
  <c r="I23" i="4"/>
  <c r="G64" i="4"/>
  <c r="G52" i="4"/>
  <c r="G46" i="4"/>
  <c r="I67" i="4"/>
  <c r="I34" i="4"/>
  <c r="G45" i="4"/>
  <c r="I54" i="4"/>
  <c r="I55" i="4"/>
  <c r="G6" i="4"/>
  <c r="G54" i="4"/>
  <c r="M4" i="4" l="1"/>
</calcChain>
</file>

<file path=xl/sharedStrings.xml><?xml version="1.0" encoding="utf-8"?>
<sst xmlns="http://schemas.openxmlformats.org/spreadsheetml/2006/main" count="715" uniqueCount="381">
  <si>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</si>
  <si>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</si>
  <si>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</si>
  <si>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</si>
  <si>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</si>
  <si>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</si>
  <si>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</si>
  <si>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</si>
  <si>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</si>
  <si>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</si>
  <si>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</si>
  <si>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</si>
  <si>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</si>
  <si>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</si>
  <si>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</si>
  <si>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</si>
  <si>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</si>
  <si>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</si>
  <si>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</si>
  <si>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</si>
  <si>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</si>
  <si>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</si>
  <si>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</si>
  <si>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</si>
  <si>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</si>
  <si>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</si>
  <si>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</si>
  <si>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</si>
  <si>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</si>
  <si>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</si>
  <si>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</si>
  <si>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</si>
  <si>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</si>
  <si>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</si>
  <si>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</si>
  <si>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</si>
  <si>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</si>
  <si>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</si>
  <si>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</si>
  <si>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</si>
  <si>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</si>
  <si>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</si>
  <si>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</si>
  <si>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</si>
  <si>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</si>
  <si>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</si>
  <si>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</si>
  <si>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</si>
  <si>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</si>
  <si>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</si>
  <si>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</si>
  <si>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</si>
  <si>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</si>
  <si>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</si>
  <si>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</si>
  <si>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</si>
  <si>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</si>
  <si>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</si>
  <si>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</si>
  <si>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</si>
  <si>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</si>
  <si>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</si>
  <si>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</si>
  <si>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</si>
  <si>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</si>
  <si>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</si>
  <si>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</si>
  <si>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</si>
  <si>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</si>
  <si>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</si>
  <si>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</si>
  <si>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</si>
  <si>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</si>
  <si>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</si>
  <si>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</si>
  <si>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</si>
  <si>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</si>
  <si>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</si>
  <si>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</si>
  <si>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</si>
  <si>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</si>
  <si>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</si>
  <si>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</si>
  <si>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</si>
  <si>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</si>
  <si>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</si>
  <si>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</si>
  <si>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</si>
  <si>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</si>
  <si>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</si>
  <si>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</si>
  <si>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</si>
  <si>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</si>
  <si>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</si>
  <si>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</si>
  <si>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</si>
  <si>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t0</t>
  </si>
  <si>
    <t>t24</t>
  </si>
  <si>
    <t>dif</t>
  </si>
  <si>
    <t>bpti</t>
  </si>
  <si>
    <t>control</t>
  </si>
  <si>
    <t>difference</t>
  </si>
  <si>
    <t>% growth inhibition</t>
  </si>
  <si>
    <t>plate 3</t>
  </si>
  <si>
    <t>plate 2</t>
  </si>
  <si>
    <t>plate 1</t>
  </si>
  <si>
    <t>Average</t>
  </si>
  <si>
    <t>YOR200W</t>
  </si>
  <si>
    <t>YFR012W</t>
  </si>
  <si>
    <t>wt</t>
  </si>
  <si>
    <t>all 3 under cutoff</t>
  </si>
  <si>
    <t>cutoff</t>
  </si>
  <si>
    <t>gene</t>
  </si>
  <si>
    <t>YAL034C</t>
  </si>
  <si>
    <t>YLL014W</t>
  </si>
  <si>
    <t>YAL009W</t>
  </si>
  <si>
    <t>YLR027C</t>
  </si>
  <si>
    <t>YMR216C</t>
  </si>
  <si>
    <t>YOR084W</t>
  </si>
  <si>
    <t>YOR087W</t>
  </si>
  <si>
    <t>YOR322C</t>
  </si>
  <si>
    <t>YPL234C</t>
  </si>
  <si>
    <t>YPL181W</t>
  </si>
  <si>
    <t>YPL182C</t>
  </si>
  <si>
    <t>YPL180W</t>
  </si>
  <si>
    <t>YBR248C</t>
  </si>
  <si>
    <t>YEL033W</t>
  </si>
  <si>
    <t>YGR165W</t>
  </si>
  <si>
    <t>YGR192C</t>
  </si>
  <si>
    <t>YGR215W</t>
  </si>
  <si>
    <t>YHR147C</t>
  </si>
  <si>
    <t>YLR139C</t>
  </si>
  <si>
    <t>YLR185W</t>
  </si>
  <si>
    <t>YGR078C</t>
  </si>
  <si>
    <t>YGR069W</t>
  </si>
  <si>
    <t>YOR101W</t>
  </si>
  <si>
    <t>YGR052W</t>
  </si>
  <si>
    <t>YKL185W</t>
  </si>
  <si>
    <t>YGR034W</t>
  </si>
  <si>
    <t>YGR072W</t>
  </si>
  <si>
    <t>YOR199W</t>
  </si>
  <si>
    <t>YOR187W</t>
  </si>
  <si>
    <t>YOR214C</t>
  </si>
  <si>
    <t>YOR141C</t>
  </si>
  <si>
    <t>YJL209W</t>
  </si>
  <si>
    <t>YLR350W</t>
  </si>
  <si>
    <t>YGL214W</t>
  </si>
  <si>
    <t>YGL203C</t>
  </si>
  <si>
    <t>YGR223C</t>
  </si>
  <si>
    <t>YDR363W-A</t>
  </si>
  <si>
    <t>YBL056W</t>
  </si>
  <si>
    <t>YBL024W</t>
  </si>
  <si>
    <t>YGL007W</t>
  </si>
  <si>
    <t>YBL028C</t>
  </si>
  <si>
    <t>YNL229C</t>
  </si>
  <si>
    <t>YKR048C</t>
  </si>
  <si>
    <t>YNL160W</t>
  </si>
  <si>
    <t>YKR055W</t>
  </si>
  <si>
    <t>YKL213C</t>
  </si>
  <si>
    <t>YDR290W</t>
  </si>
  <si>
    <t>YDR277C</t>
  </si>
  <si>
    <t>YDR297W</t>
  </si>
  <si>
    <t>YDR335W</t>
  </si>
  <si>
    <t>YGR269W</t>
  </si>
  <si>
    <t>YFR008W</t>
  </si>
  <si>
    <t>YFL047W</t>
  </si>
  <si>
    <t>YMR071C</t>
  </si>
  <si>
    <t>YMR073C</t>
  </si>
  <si>
    <t>YMR080C</t>
  </si>
  <si>
    <t>YHR039C-B</t>
  </si>
  <si>
    <t>YER090W</t>
  </si>
  <si>
    <t>YJL098W</t>
  </si>
  <si>
    <t>YJL110C</t>
  </si>
  <si>
    <t>YJL120W</t>
  </si>
  <si>
    <t>YJR059W</t>
  </si>
  <si>
    <t>YNR045W</t>
  </si>
  <si>
    <t>YOR379C</t>
  </si>
  <si>
    <t>YNL015W</t>
  </si>
  <si>
    <t>YNL005C</t>
  </si>
  <si>
    <t>YBR058C</t>
  </si>
  <si>
    <t>YBR111C</t>
  </si>
  <si>
    <t>YBR095C</t>
  </si>
  <si>
    <t>YNL109W</t>
  </si>
  <si>
    <t>YBR082C</t>
  </si>
  <si>
    <t>YDL062W</t>
  </si>
  <si>
    <t>YDL025C</t>
  </si>
  <si>
    <t>YDL063C</t>
  </si>
  <si>
    <t>YDL034W</t>
  </si>
  <si>
    <t>YBR132C</t>
  </si>
  <si>
    <t>YGL110C</t>
  </si>
  <si>
    <t>YDR516C</t>
  </si>
  <si>
    <t>YGL149W</t>
  </si>
  <si>
    <t>YER149C</t>
  </si>
  <si>
    <t>YMR038C</t>
  </si>
  <si>
    <t>YLR338W</t>
  </si>
  <si>
    <t>YJL027C</t>
  </si>
  <si>
    <t>YJR032W</t>
  </si>
  <si>
    <t>YOL143C</t>
  </si>
  <si>
    <t>YLR244C</t>
  </si>
  <si>
    <t>YER087W</t>
  </si>
  <si>
    <t>YCL007C</t>
  </si>
  <si>
    <t>YBR196C-A</t>
  </si>
  <si>
    <t>YGL007C-A</t>
  </si>
  <si>
    <t>YBR085C-A</t>
  </si>
  <si>
    <t>YOR026W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</si>
  <si>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</si>
  <si>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</si>
  <si>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</si>
  <si>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</si>
  <si>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</si>
  <si>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</si>
  <si>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</si>
  <si>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</si>
  <si>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</si>
  <si>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</si>
  <si>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</si>
  <si>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</si>
  <si>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</si>
  <si>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</si>
  <si>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</si>
  <si>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</si>
  <si>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</si>
  <si>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</si>
  <si>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</si>
  <si>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</si>
  <si>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</si>
  <si>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</si>
  <si>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</si>
  <si>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</si>
  <si>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</si>
  <si>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</si>
  <si>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</si>
  <si>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</si>
  <si>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</si>
  <si>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</si>
  <si>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</si>
  <si>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</si>
  <si>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</si>
  <si>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</si>
  <si>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</si>
  <si>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</si>
  <si>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</si>
  <si>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</si>
  <si>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</si>
  <si>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</si>
  <si>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</si>
  <si>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</si>
  <si>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</si>
  <si>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</si>
  <si>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</si>
  <si>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</si>
  <si>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</si>
  <si>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</si>
  <si>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</si>
  <si>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</si>
  <si>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</si>
  <si>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</si>
  <si>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</si>
  <si>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</si>
  <si>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</si>
  <si>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</si>
  <si>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</si>
  <si>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</si>
  <si>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</si>
  <si>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</si>
  <si>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</si>
  <si>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</si>
  <si>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</si>
  <si>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</si>
  <si>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</si>
  <si>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</si>
  <si>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</si>
  <si>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</si>
  <si>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</si>
  <si>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</si>
  <si>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</si>
  <si>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</si>
  <si>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</si>
  <si>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</si>
  <si>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</si>
  <si>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</si>
  <si>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</si>
  <si>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</si>
  <si>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</si>
  <si>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</si>
  <si>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</si>
  <si>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</si>
  <si>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</si>
  <si>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</si>
  <si>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</si>
  <si>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</si>
  <si>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</si>
  <si>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</si>
  <si>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</si>
  <si>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</si>
  <si>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</si>
  <si>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</si>
  <si>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</si>
  <si>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</si>
  <si>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</si>
  <si>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c9</t>
  </si>
  <si>
    <t>blank</t>
  </si>
  <si>
    <t>average</t>
  </si>
  <si>
    <t>SPO7</t>
  </si>
  <si>
    <t>FUN19</t>
  </si>
  <si>
    <t>NCL1</t>
  </si>
  <si>
    <t>PTC3</t>
  </si>
  <si>
    <t>UBP14</t>
  </si>
  <si>
    <t>UBC4</t>
  </si>
  <si>
    <t>RXT2</t>
  </si>
  <si>
    <t>YSA1</t>
  </si>
  <si>
    <t>AGP2</t>
  </si>
  <si>
    <t>HIS7</t>
  </si>
  <si>
    <t>RTK1</t>
  </si>
  <si>
    <t>MTH1</t>
  </si>
  <si>
    <t>SUR2</t>
  </si>
  <si>
    <t>MSN5</t>
  </si>
  <si>
    <t>SEM1</t>
  </si>
  <si>
    <t>EMI2</t>
  </si>
  <si>
    <t>MTC7</t>
  </si>
  <si>
    <t>AIM10</t>
  </si>
  <si>
    <t>TRP2</t>
  </si>
  <si>
    <t>PEA2</t>
  </si>
  <si>
    <t>RGD2</t>
  </si>
  <si>
    <t>FAR7</t>
  </si>
  <si>
    <t>BRP1</t>
  </si>
  <si>
    <t>CUE3</t>
  </si>
  <si>
    <t>KEX1</t>
  </si>
  <si>
    <t>RPL26B</t>
  </si>
  <si>
    <t>FMP48</t>
  </si>
  <si>
    <t>UPF3</t>
  </si>
  <si>
    <t>PAC10</t>
  </si>
  <si>
    <t>MRPS35</t>
  </si>
  <si>
    <t>TDH3</t>
  </si>
  <si>
    <t>RSM27</t>
  </si>
  <si>
    <t>HSV2</t>
  </si>
  <si>
    <t>MRPL6</t>
  </si>
  <si>
    <t>SAP185</t>
  </si>
  <si>
    <t>GZF3</t>
  </si>
  <si>
    <t>CBP1</t>
  </si>
  <si>
    <t>CPR7</t>
  </si>
  <si>
    <t>PTK2</t>
  </si>
  <si>
    <t>ASH1</t>
  </si>
  <si>
    <t>DOA1</t>
  </si>
  <si>
    <t>NAP1</t>
  </si>
  <si>
    <t>RHO4</t>
  </si>
  <si>
    <t>EMC6</t>
  </si>
  <si>
    <t>AAT2</t>
  </si>
  <si>
    <t>SLS1</t>
  </si>
  <si>
    <t>RPL37A</t>
  </si>
  <si>
    <t>MAP1</t>
  </si>
  <si>
    <t>OPI9</t>
  </si>
  <si>
    <t>ORM2</t>
  </si>
  <si>
    <t>CCS1</t>
  </si>
  <si>
    <t>TVP18</t>
  </si>
  <si>
    <t>IRC21</t>
  </si>
  <si>
    <t>NAM7</t>
  </si>
  <si>
    <t>SKY1</t>
  </si>
  <si>
    <t>MRP7</t>
  </si>
  <si>
    <t>PBI2</t>
  </si>
  <si>
    <t>YGP1</t>
  </si>
  <si>
    <t>URE2</t>
  </si>
  <si>
    <t>PET494</t>
  </si>
  <si>
    <t>RIB4</t>
  </si>
  <si>
    <t>BUB3</t>
  </si>
  <si>
    <t>LPX1</t>
  </si>
  <si>
    <t>YVC1</t>
  </si>
  <si>
    <t>RAS1</t>
  </si>
  <si>
    <t>ARP8</t>
  </si>
  <si>
    <t>TUF1</t>
  </si>
  <si>
    <t>LDB19</t>
  </si>
  <si>
    <t>TCO89</t>
  </si>
  <si>
    <t>CTI6</t>
  </si>
  <si>
    <t>VMA11</t>
  </si>
  <si>
    <t>well</t>
  </si>
  <si>
    <t>adjusted</t>
  </si>
  <si>
    <t>sd</t>
  </si>
  <si>
    <t>agp2</t>
  </si>
  <si>
    <t>ptk2</t>
  </si>
  <si>
    <t>sky1</t>
  </si>
  <si>
    <t>brp1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</si>
</sst>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0"/>
      <color rgb="FF000000"/>
      <name val="Arial Unicode MS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Fill="1"/>
    <xf numFmtId="0" fontId="0" fillId="0" borderId="0" xfId="0"/>
    <xf numFmtId="0" fontId="0" fillId="0" borderId="0" xfId="0" applyFill="1"/>
    <xf numFmtId="0" fontId="0" fillId="2" borderId="0" xfId="0" applyFill="1"/>
    <xf numFmtId="0" fontId="1" fillId="0" borderId="0" xfId="0" applyFont="1" applyFill="1" applyAlignment="1">
      <alignment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summary!$G$1</c:f>
              <c:strCache>
                <c:ptCount val="1"/>
                <c:pt idx="0">
                  <c:v>Average</c:v>
                </c:pt>
              </c:strCache>
            </c:strRef>
          </c:tx>
          <c:invertIfNegative val="0"/>
          <c:errBars>
            <c:errBarType val="both"/>
            <c:errValType val="cust"/>
            <c:noEndCap val="0"/>
            <c:plus>
              <c:numRef>
                <c:f>summary!$H$2:$H$97</c:f>
                <c:numCache>
                  <c:formatCode>General</c:formatCode>
                  <c:ptCount val="96"/>
                  <c:pt idx="0">
                    <c:v>2.9733969778879303</c:v>
                  </c:pt>
                  <c:pt idx="1">
                    <c:v>6.5051720609170429</c:v>
                  </c:pt>
                  <c:pt idx="2">
                    <c:v>6.0981378770840902</c:v>
                  </c:pt>
                  <c:pt idx="3">
                    <c:v>1.1431993171829902</c:v>
                  </c:pt>
                  <c:pt idx="4">
                    <c:v>5.3960850021528826</c:v>
                  </c:pt>
                  <c:pt idx="5">
                    <c:v>5.7051077841380504</c:v>
                  </c:pt>
                  <c:pt idx="6">
                    <c:v>3.0599675884575581</c:v>
                  </c:pt>
                  <c:pt idx="7">
                    <c:v>6.9704995535796659</c:v>
                  </c:pt>
                  <c:pt idx="8">
                    <c:v>8.5481724387868354</c:v>
                  </c:pt>
                  <c:pt idx="9">
                    <c:v>4.8452309605715511</c:v>
                  </c:pt>
                  <c:pt idx="10">
                    <c:v>4.1391489690368939</c:v>
                  </c:pt>
                  <c:pt idx="11">
                    <c:v>2.6656424372611687</c:v>
                  </c:pt>
                  <c:pt idx="12">
                    <c:v>6.7288823976384311</c:v>
                  </c:pt>
                  <c:pt idx="13">
                    <c:v>5.7345101108415824</c:v>
                  </c:pt>
                  <c:pt idx="14">
                    <c:v>10.339995407703197</c:v>
                  </c:pt>
                  <c:pt idx="15">
                    <c:v>4.1121416241137041</c:v>
                  </c:pt>
                  <c:pt idx="16">
                    <c:v>4.3654832520252169</c:v>
                  </c:pt>
                  <c:pt idx="17">
                    <c:v>4.005187095439438</c:v>
                  </c:pt>
                  <c:pt idx="18">
                    <c:v>0.69777575766961175</c:v>
                  </c:pt>
                  <c:pt idx="19">
                    <c:v>2.2136028407640835</c:v>
                  </c:pt>
                  <c:pt idx="20">
                    <c:v>4.5016153209455485</c:v>
                  </c:pt>
                  <c:pt idx="21">
                    <c:v>7.2260261029871611</c:v>
                  </c:pt>
                  <c:pt idx="22">
                    <c:v>2.1156665469116045</c:v>
                  </c:pt>
                  <c:pt idx="23">
                    <c:v>6.2936927387532275</c:v>
                  </c:pt>
                  <c:pt idx="24">
                    <c:v>3.6915483675040162</c:v>
                  </c:pt>
                  <c:pt idx="25">
                    <c:v>6.8427223024458579</c:v>
                  </c:pt>
                  <c:pt idx="26">
                    <c:v>2.0257709994780249</c:v>
                  </c:pt>
                  <c:pt idx="27">
                    <c:v>3.1100201424280365</c:v>
                  </c:pt>
                  <c:pt idx="28">
                    <c:v>1.7888877307889401</c:v>
                  </c:pt>
                  <c:pt idx="29">
                    <c:v>4.6395538309349869</c:v>
                  </c:pt>
                  <c:pt idx="30">
                    <c:v>6.7183727870559116</c:v>
                  </c:pt>
                  <c:pt idx="31">
                    <c:v>5.1695544405904768</c:v>
                  </c:pt>
                  <c:pt idx="32">
                    <c:v>1.1784935393840299</c:v>
                  </c:pt>
                  <c:pt idx="33">
                    <c:v>4.1310153574346664</c:v>
                  </c:pt>
                  <c:pt idx="34">
                    <c:v>6.4510414529088207</c:v>
                  </c:pt>
                  <c:pt idx="35">
                    <c:v>4.6831780094899838</c:v>
                  </c:pt>
                  <c:pt idx="36">
                    <c:v>4.3617869956940822</c:v>
                  </c:pt>
                  <c:pt idx="37">
                    <c:v>4.0515482786459982</c:v>
                  </c:pt>
                  <c:pt idx="38">
                    <c:v>3.0970060973062767</c:v>
                  </c:pt>
                  <c:pt idx="39">
                    <c:v>5.0516610109743052</c:v>
                  </c:pt>
                  <c:pt idx="40">
                    <c:v>3.9963440935265515</c:v>
                  </c:pt>
                  <c:pt idx="41">
                    <c:v>1.6730640681727103</c:v>
                  </c:pt>
                  <c:pt idx="42">
                    <c:v>4.7094457413889703</c:v>
                  </c:pt>
                  <c:pt idx="43">
                    <c:v>4.2124732558418465</c:v>
                  </c:pt>
                  <c:pt idx="44">
                    <c:v>9.4027411809351289</c:v>
                  </c:pt>
                  <c:pt idx="45">
                    <c:v>3.8329780700255704</c:v>
                  </c:pt>
                  <c:pt idx="46">
                    <c:v>8.6936349187025819</c:v>
                  </c:pt>
                  <c:pt idx="47">
                    <c:v>2.1674051275490229</c:v>
                  </c:pt>
                  <c:pt idx="48">
                    <c:v>7.8731524829031212</c:v>
                  </c:pt>
                  <c:pt idx="49">
                    <c:v>3.2433241470235914</c:v>
                  </c:pt>
                  <c:pt idx="50">
                    <c:v>4.9262717924649913</c:v>
                  </c:pt>
                  <c:pt idx="51">
                    <c:v>6.4512104572513795</c:v>
                  </c:pt>
                  <c:pt idx="52">
                    <c:v>3.5596757404737245</c:v>
                  </c:pt>
                  <c:pt idx="53">
                    <c:v>3.1952628812794455</c:v>
                  </c:pt>
                  <c:pt idx="54">
                    <c:v>2.125154680742332</c:v>
                  </c:pt>
                  <c:pt idx="55">
                    <c:v>5.4605783281950577</c:v>
                  </c:pt>
                  <c:pt idx="56">
                    <c:v>4.7726597263686168</c:v>
                  </c:pt>
                  <c:pt idx="57">
                    <c:v>1.441102481731513</c:v>
                  </c:pt>
                  <c:pt idx="58">
                    <c:v>7.8369836393267844</c:v>
                  </c:pt>
                  <c:pt idx="59">
                    <c:v>9.9135426772337656</c:v>
                  </c:pt>
                  <c:pt idx="60">
                    <c:v>6.3349947319548754</c:v>
                  </c:pt>
                  <c:pt idx="61">
                    <c:v>5.3583219302504315</c:v>
                  </c:pt>
                  <c:pt idx="62">
                    <c:v>11.720474860062163</c:v>
                  </c:pt>
                  <c:pt idx="63">
                    <c:v>7.907014709504173</c:v>
                  </c:pt>
                  <c:pt idx="64">
                    <c:v>4.4281871100660792</c:v>
                  </c:pt>
                  <c:pt idx="65">
                    <c:v>5.9854907893577121</c:v>
                  </c:pt>
                  <c:pt idx="66">
                    <c:v>3.9068517651562913</c:v>
                  </c:pt>
                  <c:pt idx="67">
                    <c:v>9.9049761027445449</c:v>
                  </c:pt>
                  <c:pt idx="68">
                    <c:v>10.755194151767759</c:v>
                  </c:pt>
                  <c:pt idx="69">
                    <c:v>9.7135943875524422</c:v>
                  </c:pt>
                  <c:pt idx="70">
                    <c:v>3.5672665130902241</c:v>
                  </c:pt>
                  <c:pt idx="71">
                    <c:v>3.4852760282240758</c:v>
                  </c:pt>
                  <c:pt idx="72">
                    <c:v>6.3339324268140631</c:v>
                  </c:pt>
                  <c:pt idx="73">
                    <c:v>5.6995764312380581</c:v>
                  </c:pt>
                  <c:pt idx="74">
                    <c:v>6.4652559748815381</c:v>
                  </c:pt>
                  <c:pt idx="75">
                    <c:v>6.2031867315502494</c:v>
                  </c:pt>
                  <c:pt idx="76">
                    <c:v>6.1664612905382201</c:v>
                  </c:pt>
                  <c:pt idx="77">
                    <c:v>4.9233957061665432</c:v>
                  </c:pt>
                  <c:pt idx="78">
                    <c:v>1.4899821079666173</c:v>
                  </c:pt>
                  <c:pt idx="79">
                    <c:v>10.73195239745737</c:v>
                  </c:pt>
                  <c:pt idx="80">
                    <c:v>9.009240918385002</c:v>
                  </c:pt>
                  <c:pt idx="81">
                    <c:v>11.347773651023198</c:v>
                  </c:pt>
                  <c:pt idx="82">
                    <c:v>15.038510819013737</c:v>
                  </c:pt>
                  <c:pt idx="83">
                    <c:v>2.3931125645016635</c:v>
                  </c:pt>
                  <c:pt idx="84">
                    <c:v>4.3640301088528171</c:v>
                  </c:pt>
                  <c:pt idx="85">
                    <c:v>9.118625886254728</c:v>
                  </c:pt>
                  <c:pt idx="86">
                    <c:v>8.4880082239096595</c:v>
                  </c:pt>
                  <c:pt idx="87">
                    <c:v>4.1512204645880804</c:v>
                  </c:pt>
                  <c:pt idx="88">
                    <c:v>5.5254975816348013</c:v>
                  </c:pt>
                  <c:pt idx="89">
                    <c:v>5.0627382457471297</c:v>
                  </c:pt>
                  <c:pt idx="90">
                    <c:v>3.9138654984735983</c:v>
                  </c:pt>
                  <c:pt idx="91">
                    <c:v>4.5345311437574756</c:v>
                  </c:pt>
                  <c:pt idx="92">
                    <c:v>5.2612475116082518</c:v>
                  </c:pt>
                  <c:pt idx="93">
                    <c:v>4.2092017567734716</c:v>
                  </c:pt>
                  <c:pt idx="94">
                    <c:v>5.6440853501541524</c:v>
                  </c:pt>
                  <c:pt idx="95">
                    <c:v>7.9212609194066035</c:v>
                  </c:pt>
                </c:numCache>
              </c:numRef>
            </c:plus>
            <c:minus>
              <c:numRef>
                <c:f>summary!$H$2:$H$97</c:f>
                <c:numCache>
                  <c:formatCode>General</c:formatCode>
                  <c:ptCount val="96"/>
                  <c:pt idx="0">
                    <c:v>2.9733969778879303</c:v>
                  </c:pt>
                  <c:pt idx="1">
                    <c:v>6.5051720609170429</c:v>
                  </c:pt>
                  <c:pt idx="2">
                    <c:v>6.0981378770840902</c:v>
                  </c:pt>
                  <c:pt idx="3">
                    <c:v>1.1431993171829902</c:v>
                  </c:pt>
                  <c:pt idx="4">
                    <c:v>5.3960850021528826</c:v>
                  </c:pt>
                  <c:pt idx="5">
                    <c:v>5.7051077841380504</c:v>
                  </c:pt>
                  <c:pt idx="6">
                    <c:v>3.0599675884575581</c:v>
                  </c:pt>
                  <c:pt idx="7">
                    <c:v>6.9704995535796659</c:v>
                  </c:pt>
                  <c:pt idx="8">
                    <c:v>8.5481724387868354</c:v>
                  </c:pt>
                  <c:pt idx="9">
                    <c:v>4.8452309605715511</c:v>
                  </c:pt>
                  <c:pt idx="10">
                    <c:v>4.1391489690368939</c:v>
                  </c:pt>
                  <c:pt idx="11">
                    <c:v>2.6656424372611687</c:v>
                  </c:pt>
                  <c:pt idx="12">
                    <c:v>6.7288823976384311</c:v>
                  </c:pt>
                  <c:pt idx="13">
                    <c:v>5.7345101108415824</c:v>
                  </c:pt>
                  <c:pt idx="14">
                    <c:v>10.339995407703197</c:v>
                  </c:pt>
                  <c:pt idx="15">
                    <c:v>4.1121416241137041</c:v>
                  </c:pt>
                  <c:pt idx="16">
                    <c:v>4.3654832520252169</c:v>
                  </c:pt>
                  <c:pt idx="17">
                    <c:v>4.005187095439438</c:v>
                  </c:pt>
                  <c:pt idx="18">
                    <c:v>0.69777575766961175</c:v>
                  </c:pt>
                  <c:pt idx="19">
                    <c:v>2.2136028407640835</c:v>
                  </c:pt>
                  <c:pt idx="20">
                    <c:v>4.5016153209455485</c:v>
                  </c:pt>
                  <c:pt idx="21">
                    <c:v>7.2260261029871611</c:v>
                  </c:pt>
                  <c:pt idx="22">
                    <c:v>2.1156665469116045</c:v>
                  </c:pt>
                  <c:pt idx="23">
                    <c:v>6.2936927387532275</c:v>
                  </c:pt>
                  <c:pt idx="24">
                    <c:v>3.6915483675040162</c:v>
                  </c:pt>
                  <c:pt idx="25">
                    <c:v>6.8427223024458579</c:v>
                  </c:pt>
                  <c:pt idx="26">
                    <c:v>2.0257709994780249</c:v>
                  </c:pt>
                  <c:pt idx="27">
                    <c:v>3.1100201424280365</c:v>
                  </c:pt>
                  <c:pt idx="28">
                    <c:v>1.7888877307889401</c:v>
                  </c:pt>
                  <c:pt idx="29">
                    <c:v>4.6395538309349869</c:v>
                  </c:pt>
                  <c:pt idx="30">
                    <c:v>6.7183727870559116</c:v>
                  </c:pt>
                  <c:pt idx="31">
                    <c:v>5.1695544405904768</c:v>
                  </c:pt>
                  <c:pt idx="32">
                    <c:v>1.1784935393840299</c:v>
                  </c:pt>
                  <c:pt idx="33">
                    <c:v>4.1310153574346664</c:v>
                  </c:pt>
                  <c:pt idx="34">
                    <c:v>6.4510414529088207</c:v>
                  </c:pt>
                  <c:pt idx="35">
                    <c:v>4.6831780094899838</c:v>
                  </c:pt>
                  <c:pt idx="36">
                    <c:v>4.3617869956940822</c:v>
                  </c:pt>
                  <c:pt idx="37">
                    <c:v>4.0515482786459982</c:v>
                  </c:pt>
                  <c:pt idx="38">
                    <c:v>3.0970060973062767</c:v>
                  </c:pt>
                  <c:pt idx="39">
                    <c:v>5.0516610109743052</c:v>
                  </c:pt>
                  <c:pt idx="40">
                    <c:v>3.9963440935265515</c:v>
                  </c:pt>
                  <c:pt idx="41">
                    <c:v>1.6730640681727103</c:v>
                  </c:pt>
                  <c:pt idx="42">
                    <c:v>4.7094457413889703</c:v>
                  </c:pt>
                  <c:pt idx="43">
                    <c:v>4.2124732558418465</c:v>
                  </c:pt>
                  <c:pt idx="44">
                    <c:v>9.4027411809351289</c:v>
                  </c:pt>
                  <c:pt idx="45">
                    <c:v>3.8329780700255704</c:v>
                  </c:pt>
                  <c:pt idx="46">
                    <c:v>8.6936349187025819</c:v>
                  </c:pt>
                  <c:pt idx="47">
                    <c:v>2.1674051275490229</c:v>
                  </c:pt>
                  <c:pt idx="48">
                    <c:v>7.8731524829031212</c:v>
                  </c:pt>
                  <c:pt idx="49">
                    <c:v>3.2433241470235914</c:v>
                  </c:pt>
                  <c:pt idx="50">
                    <c:v>4.9262717924649913</c:v>
                  </c:pt>
                  <c:pt idx="51">
                    <c:v>6.4512104572513795</c:v>
                  </c:pt>
                  <c:pt idx="52">
                    <c:v>3.5596757404737245</c:v>
                  </c:pt>
                  <c:pt idx="53">
                    <c:v>3.1952628812794455</c:v>
                  </c:pt>
                  <c:pt idx="54">
                    <c:v>2.125154680742332</c:v>
                  </c:pt>
                  <c:pt idx="55">
                    <c:v>5.4605783281950577</c:v>
                  </c:pt>
                  <c:pt idx="56">
                    <c:v>4.7726597263686168</c:v>
                  </c:pt>
                  <c:pt idx="57">
                    <c:v>1.441102481731513</c:v>
                  </c:pt>
                  <c:pt idx="58">
                    <c:v>7.8369836393267844</c:v>
                  </c:pt>
                  <c:pt idx="59">
                    <c:v>9.9135426772337656</c:v>
                  </c:pt>
                  <c:pt idx="60">
                    <c:v>6.3349947319548754</c:v>
                  </c:pt>
                  <c:pt idx="61">
                    <c:v>5.3583219302504315</c:v>
                  </c:pt>
                  <c:pt idx="62">
                    <c:v>11.720474860062163</c:v>
                  </c:pt>
                  <c:pt idx="63">
                    <c:v>7.907014709504173</c:v>
                  </c:pt>
                  <c:pt idx="64">
                    <c:v>4.4281871100660792</c:v>
                  </c:pt>
                  <c:pt idx="65">
                    <c:v>5.9854907893577121</c:v>
                  </c:pt>
                  <c:pt idx="66">
                    <c:v>3.9068517651562913</c:v>
                  </c:pt>
                  <c:pt idx="67">
                    <c:v>9.9049761027445449</c:v>
                  </c:pt>
                  <c:pt idx="68">
                    <c:v>10.755194151767759</c:v>
                  </c:pt>
                  <c:pt idx="69">
                    <c:v>9.7135943875524422</c:v>
                  </c:pt>
                  <c:pt idx="70">
                    <c:v>3.5672665130902241</c:v>
                  </c:pt>
                  <c:pt idx="71">
                    <c:v>3.4852760282240758</c:v>
                  </c:pt>
                  <c:pt idx="72">
                    <c:v>6.3339324268140631</c:v>
                  </c:pt>
                  <c:pt idx="73">
                    <c:v>5.6995764312380581</c:v>
                  </c:pt>
                  <c:pt idx="74">
                    <c:v>6.4652559748815381</c:v>
                  </c:pt>
                  <c:pt idx="75">
                    <c:v>6.2031867315502494</c:v>
                  </c:pt>
                  <c:pt idx="76">
                    <c:v>6.1664612905382201</c:v>
                  </c:pt>
                  <c:pt idx="77">
                    <c:v>4.9233957061665432</c:v>
                  </c:pt>
                  <c:pt idx="78">
                    <c:v>1.4899821079666173</c:v>
                  </c:pt>
                  <c:pt idx="79">
                    <c:v>10.73195239745737</c:v>
                  </c:pt>
                  <c:pt idx="80">
                    <c:v>9.009240918385002</c:v>
                  </c:pt>
                  <c:pt idx="81">
                    <c:v>11.347773651023198</c:v>
                  </c:pt>
                  <c:pt idx="82">
                    <c:v>15.038510819013737</c:v>
                  </c:pt>
                  <c:pt idx="83">
                    <c:v>2.3931125645016635</c:v>
                  </c:pt>
                  <c:pt idx="84">
                    <c:v>4.3640301088528171</c:v>
                  </c:pt>
                  <c:pt idx="85">
                    <c:v>9.118625886254728</c:v>
                  </c:pt>
                  <c:pt idx="86">
                    <c:v>8.4880082239096595</c:v>
                  </c:pt>
                  <c:pt idx="87">
                    <c:v>4.1512204645880804</c:v>
                  </c:pt>
                  <c:pt idx="88">
                    <c:v>5.5254975816348013</c:v>
                  </c:pt>
                  <c:pt idx="89">
                    <c:v>5.0627382457471297</c:v>
                  </c:pt>
                  <c:pt idx="90">
                    <c:v>3.9138654984735983</c:v>
                  </c:pt>
                  <c:pt idx="91">
                    <c:v>4.5345311437574756</c:v>
                  </c:pt>
                  <c:pt idx="92">
                    <c:v>5.2612475116082518</c:v>
                  </c:pt>
                  <c:pt idx="93">
                    <c:v>4.2092017567734716</c:v>
                  </c:pt>
                  <c:pt idx="94">
                    <c:v>5.6440853501541524</c:v>
                  </c:pt>
                  <c:pt idx="95">
                    <c:v>7.9212609194066035</c:v>
                  </c:pt>
                </c:numCache>
              </c:numRef>
            </c:minus>
          </c:errBars>
          <c:cat>
            <c:strRef>
              <c:f>summary!$C$2:$C$97</c:f>
              <c:strCache>
                <c:ptCount val="96"/>
                <c:pt idx="0">
                  <c:v>PAC10</c:v>
                </c:pt>
                <c:pt idx="1">
                  <c:v>SLS1</c:v>
                </c:pt>
                <c:pt idx="2">
                  <c:v>LPX1</c:v>
                </c:pt>
                <c:pt idx="3">
                  <c:v>ORM2</c:v>
                </c:pt>
                <c:pt idx="4">
                  <c:v>EMC6</c:v>
                </c:pt>
                <c:pt idx="5">
                  <c:v>PET494</c:v>
                </c:pt>
                <c:pt idx="6">
                  <c:v>TVP18</c:v>
                </c:pt>
                <c:pt idx="7">
                  <c:v>PTK2</c:v>
                </c:pt>
                <c:pt idx="8">
                  <c:v>YDL034W</c:v>
                </c:pt>
                <c:pt idx="9">
                  <c:v>TRP2</c:v>
                </c:pt>
                <c:pt idx="10">
                  <c:v>YNL109W</c:v>
                </c:pt>
                <c:pt idx="11">
                  <c:v>VMA11</c:v>
                </c:pt>
                <c:pt idx="12">
                  <c:v>SPO7</c:v>
                </c:pt>
                <c:pt idx="13">
                  <c:v>MSN5</c:v>
                </c:pt>
                <c:pt idx="14">
                  <c:v>YSA1</c:v>
                </c:pt>
                <c:pt idx="15">
                  <c:v>SKY1</c:v>
                </c:pt>
                <c:pt idx="16">
                  <c:v>TUF1</c:v>
                </c:pt>
                <c:pt idx="17">
                  <c:v>KEX1</c:v>
                </c:pt>
                <c:pt idx="18">
                  <c:v>YJL120W</c:v>
                </c:pt>
                <c:pt idx="19">
                  <c:v>UPF3</c:v>
                </c:pt>
                <c:pt idx="20">
                  <c:v>MTH1</c:v>
                </c:pt>
                <c:pt idx="21">
                  <c:v>YOR200W</c:v>
                </c:pt>
                <c:pt idx="22">
                  <c:v>FUN19</c:v>
                </c:pt>
                <c:pt idx="23">
                  <c:v>AAT2</c:v>
                </c:pt>
                <c:pt idx="24">
                  <c:v>YGP1</c:v>
                </c:pt>
                <c:pt idx="25">
                  <c:v>UBP14</c:v>
                </c:pt>
                <c:pt idx="26">
                  <c:v>TCO89</c:v>
                </c:pt>
                <c:pt idx="27">
                  <c:v>YOR379C</c:v>
                </c:pt>
                <c:pt idx="28">
                  <c:v>SUR2</c:v>
                </c:pt>
                <c:pt idx="29">
                  <c:v>YBL028C</c:v>
                </c:pt>
                <c:pt idx="30">
                  <c:v>OPI9</c:v>
                </c:pt>
                <c:pt idx="31">
                  <c:v>YGL214W</c:v>
                </c:pt>
                <c:pt idx="32">
                  <c:v>IRC21</c:v>
                </c:pt>
                <c:pt idx="33">
                  <c:v>CCS1</c:v>
                </c:pt>
                <c:pt idx="34">
                  <c:v>SEM1</c:v>
                </c:pt>
                <c:pt idx="35">
                  <c:v>FAR7</c:v>
                </c:pt>
                <c:pt idx="36">
                  <c:v>AGP2</c:v>
                </c:pt>
                <c:pt idx="37">
                  <c:v>PTC3</c:v>
                </c:pt>
                <c:pt idx="38">
                  <c:v>RPL26B</c:v>
                </c:pt>
                <c:pt idx="39">
                  <c:v>YGR269W</c:v>
                </c:pt>
                <c:pt idx="40">
                  <c:v>LDB19</c:v>
                </c:pt>
                <c:pt idx="41">
                  <c:v>RAS1</c:v>
                </c:pt>
                <c:pt idx="42">
                  <c:v>NCL1</c:v>
                </c:pt>
                <c:pt idx="43">
                  <c:v>RXT2</c:v>
                </c:pt>
                <c:pt idx="44">
                  <c:v>URE2</c:v>
                </c:pt>
                <c:pt idx="45">
                  <c:v>BRP1</c:v>
                </c:pt>
                <c:pt idx="46">
                  <c:v>RIB4</c:v>
                </c:pt>
                <c:pt idx="47">
                  <c:v>YFR012W</c:v>
                </c:pt>
                <c:pt idx="48">
                  <c:v>CBP1</c:v>
                </c:pt>
                <c:pt idx="49">
                  <c:v>RSM27</c:v>
                </c:pt>
                <c:pt idx="50">
                  <c:v>SAP185</c:v>
                </c:pt>
                <c:pt idx="51">
                  <c:v>YDL062W</c:v>
                </c:pt>
                <c:pt idx="52">
                  <c:v>FMP48</c:v>
                </c:pt>
                <c:pt idx="53">
                  <c:v>YPL182C</c:v>
                </c:pt>
                <c:pt idx="54">
                  <c:v>CTI6</c:v>
                </c:pt>
                <c:pt idx="55">
                  <c:v>YGR069W</c:v>
                </c:pt>
                <c:pt idx="56">
                  <c:v>YVC1</c:v>
                </c:pt>
                <c:pt idx="57">
                  <c:v>ARP8</c:v>
                </c:pt>
                <c:pt idx="58">
                  <c:v>YHR039C-B</c:v>
                </c:pt>
                <c:pt idx="59">
                  <c:v>DOA1</c:v>
                </c:pt>
                <c:pt idx="60">
                  <c:v>HSV2</c:v>
                </c:pt>
                <c:pt idx="61">
                  <c:v>YGL149W</c:v>
                </c:pt>
                <c:pt idx="62">
                  <c:v>MAP1</c:v>
                </c:pt>
                <c:pt idx="63">
                  <c:v>EMI2</c:v>
                </c:pt>
                <c:pt idx="64">
                  <c:v>RTK1</c:v>
                </c:pt>
                <c:pt idx="65">
                  <c:v>MRPL6</c:v>
                </c:pt>
                <c:pt idx="66">
                  <c:v>YDR290W</c:v>
                </c:pt>
                <c:pt idx="67">
                  <c:v>NAP1</c:v>
                </c:pt>
                <c:pt idx="68">
                  <c:v>CPR7</c:v>
                </c:pt>
                <c:pt idx="69">
                  <c:v>GZF3</c:v>
                </c:pt>
                <c:pt idx="70">
                  <c:v>CUE3</c:v>
                </c:pt>
                <c:pt idx="71">
                  <c:v>NAM7</c:v>
                </c:pt>
                <c:pt idx="72">
                  <c:v>YJL027C</c:v>
                </c:pt>
                <c:pt idx="73">
                  <c:v>TDH3</c:v>
                </c:pt>
                <c:pt idx="74">
                  <c:v>HIS7</c:v>
                </c:pt>
                <c:pt idx="75">
                  <c:v>YOR199W</c:v>
                </c:pt>
                <c:pt idx="76">
                  <c:v>MTC7</c:v>
                </c:pt>
                <c:pt idx="77">
                  <c:v>RGD2</c:v>
                </c:pt>
                <c:pt idx="78">
                  <c:v>UBC4</c:v>
                </c:pt>
                <c:pt idx="79">
                  <c:v>YDL063C</c:v>
                </c:pt>
                <c:pt idx="80">
                  <c:v>MRPS35</c:v>
                </c:pt>
                <c:pt idx="81">
                  <c:v>ASH1</c:v>
                </c:pt>
                <c:pt idx="82">
                  <c:v>PEA2</c:v>
                </c:pt>
                <c:pt idx="83">
                  <c:v>MRP7</c:v>
                </c:pt>
                <c:pt idx="84">
                  <c:v>PBI2</c:v>
                </c:pt>
                <c:pt idx="85">
                  <c:v>RPL37A</c:v>
                </c:pt>
                <c:pt idx="86">
                  <c:v>blank</c:v>
                </c:pt>
                <c:pt idx="87">
                  <c:v>RHO4</c:v>
                </c:pt>
                <c:pt idx="88">
                  <c:v>YOR214C</c:v>
                </c:pt>
                <c:pt idx="89">
                  <c:v>BUB3</c:v>
                </c:pt>
                <c:pt idx="90">
                  <c:v>AIM10</c:v>
                </c:pt>
                <c:pt idx="91">
                  <c:v>YBR085C-A</c:v>
                </c:pt>
                <c:pt idx="92">
                  <c:v>YCL007C</c:v>
                </c:pt>
                <c:pt idx="93">
                  <c:v>YGL007C-A</c:v>
                </c:pt>
                <c:pt idx="94">
                  <c:v>YBR196C-A</c:v>
                </c:pt>
                <c:pt idx="95">
                  <c:v>wt</c:v>
                </c:pt>
              </c:strCache>
            </c:strRef>
          </c:cat>
          <c:val>
            <c:numRef>
              <c:f>summary!$G$2:$G$99</c:f>
              <c:numCache>
                <c:formatCode>General</c:formatCode>
                <c:ptCount val="98"/>
                <c:pt idx="0">
                  <c:v>5.3137970635572378</c:v>
                </c:pt>
                <c:pt idx="1">
                  <c:v>5.3529661827675641</c:v>
                </c:pt>
                <c:pt idx="2">
                  <c:v>6.1989933299092472</c:v>
                </c:pt>
                <c:pt idx="3">
                  <c:v>7.1449521518357537</c:v>
                </c:pt>
                <c:pt idx="4">
                  <c:v>7.9545653195023336</c:v>
                </c:pt>
                <c:pt idx="5">
                  <c:v>8.3469414871783716</c:v>
                </c:pt>
                <c:pt idx="6">
                  <c:v>9.1436820940976506</c:v>
                </c:pt>
                <c:pt idx="7">
                  <c:v>9.3109200032702475</c:v>
                </c:pt>
                <c:pt idx="8">
                  <c:v>11.881581464446105</c:v>
                </c:pt>
                <c:pt idx="9">
                  <c:v>12.035971456563963</c:v>
                </c:pt>
                <c:pt idx="10">
                  <c:v>12.539546013212572</c:v>
                </c:pt>
                <c:pt idx="11">
                  <c:v>12.643648047954626</c:v>
                </c:pt>
                <c:pt idx="12">
                  <c:v>12.696346805287469</c:v>
                </c:pt>
                <c:pt idx="13">
                  <c:v>13.055193941408548</c:v>
                </c:pt>
                <c:pt idx="14">
                  <c:v>13.182941134610644</c:v>
                </c:pt>
                <c:pt idx="15">
                  <c:v>13.429350726622701</c:v>
                </c:pt>
                <c:pt idx="16">
                  <c:v>13.437199276837044</c:v>
                </c:pt>
                <c:pt idx="17">
                  <c:v>13.950671666190933</c:v>
                </c:pt>
                <c:pt idx="18">
                  <c:v>13.998884590213564</c:v>
                </c:pt>
                <c:pt idx="19">
                  <c:v>14.189674109525845</c:v>
                </c:pt>
                <c:pt idx="20">
                  <c:v>14.204636612462769</c:v>
                </c:pt>
                <c:pt idx="21">
                  <c:v>14.669389153167913</c:v>
                </c:pt>
                <c:pt idx="22">
                  <c:v>14.811472207291137</c:v>
                </c:pt>
                <c:pt idx="23">
                  <c:v>15.315776490903124</c:v>
                </c:pt>
                <c:pt idx="24">
                  <c:v>16.044388428109357</c:v>
                </c:pt>
                <c:pt idx="25">
                  <c:v>16.231002323765498</c:v>
                </c:pt>
                <c:pt idx="26">
                  <c:v>16.398352646554084</c:v>
                </c:pt>
                <c:pt idx="27">
                  <c:v>17.153240857694463</c:v>
                </c:pt>
                <c:pt idx="28">
                  <c:v>17.364929422462051</c:v>
                </c:pt>
                <c:pt idx="29">
                  <c:v>17.467978853266356</c:v>
                </c:pt>
                <c:pt idx="30">
                  <c:v>17.962590178611222</c:v>
                </c:pt>
                <c:pt idx="31">
                  <c:v>18.362005069322912</c:v>
                </c:pt>
                <c:pt idx="32">
                  <c:v>19.4520772066187</c:v>
                </c:pt>
                <c:pt idx="33">
                  <c:v>20.519745323031703</c:v>
                </c:pt>
                <c:pt idx="34">
                  <c:v>20.685012654246496</c:v>
                </c:pt>
                <c:pt idx="35">
                  <c:v>21.943559809901625</c:v>
                </c:pt>
                <c:pt idx="36">
                  <c:v>22.303197734232224</c:v>
                </c:pt>
                <c:pt idx="37">
                  <c:v>22.654329207639119</c:v>
                </c:pt>
                <c:pt idx="38">
                  <c:v>22.865595592569857</c:v>
                </c:pt>
                <c:pt idx="39">
                  <c:v>23.839684702230844</c:v>
                </c:pt>
                <c:pt idx="40">
                  <c:v>23.877437475596121</c:v>
                </c:pt>
                <c:pt idx="41">
                  <c:v>25.75309452829158</c:v>
                </c:pt>
                <c:pt idx="42">
                  <c:v>26.621536385656583</c:v>
                </c:pt>
                <c:pt idx="43">
                  <c:v>26.694920394647891</c:v>
                </c:pt>
                <c:pt idx="44">
                  <c:v>27.339088167817451</c:v>
                </c:pt>
                <c:pt idx="45">
                  <c:v>27.683112562906206</c:v>
                </c:pt>
                <c:pt idx="46">
                  <c:v>28.158413547429927</c:v>
                </c:pt>
                <c:pt idx="47">
                  <c:v>29.7443576784122</c:v>
                </c:pt>
                <c:pt idx="48">
                  <c:v>29.843191881648647</c:v>
                </c:pt>
                <c:pt idx="49">
                  <c:v>30.048960229206287</c:v>
                </c:pt>
                <c:pt idx="50">
                  <c:v>30.151993470288961</c:v>
                </c:pt>
                <c:pt idx="51">
                  <c:v>30.79312316300577</c:v>
                </c:pt>
                <c:pt idx="52">
                  <c:v>30.868999022955517</c:v>
                </c:pt>
                <c:pt idx="53">
                  <c:v>30.94192013382802</c:v>
                </c:pt>
                <c:pt idx="54">
                  <c:v>31.065162489911177</c:v>
                </c:pt>
                <c:pt idx="55">
                  <c:v>31.195723494246064</c:v>
                </c:pt>
                <c:pt idx="56">
                  <c:v>31.742304663171058</c:v>
                </c:pt>
                <c:pt idx="57">
                  <c:v>32.223367987039516</c:v>
                </c:pt>
                <c:pt idx="58">
                  <c:v>32.838177951081185</c:v>
                </c:pt>
                <c:pt idx="59">
                  <c:v>33.159434319323594</c:v>
                </c:pt>
                <c:pt idx="60">
                  <c:v>33.399835293149494</c:v>
                </c:pt>
                <c:pt idx="61">
                  <c:v>33.440414164946553</c:v>
                </c:pt>
                <c:pt idx="62">
                  <c:v>33.501410062560119</c:v>
                </c:pt>
                <c:pt idx="63">
                  <c:v>33.738185674378705</c:v>
                </c:pt>
                <c:pt idx="64">
                  <c:v>34.242868960265206</c:v>
                </c:pt>
                <c:pt idx="65">
                  <c:v>35.800913656124273</c:v>
                </c:pt>
                <c:pt idx="66">
                  <c:v>36.189498542973837</c:v>
                </c:pt>
                <c:pt idx="67">
                  <c:v>36.294682798636401</c:v>
                </c:pt>
                <c:pt idx="68">
                  <c:v>36.929063510337585</c:v>
                </c:pt>
                <c:pt idx="69">
                  <c:v>37.093150024177227</c:v>
                </c:pt>
                <c:pt idx="70">
                  <c:v>37.696795672853945</c:v>
                </c:pt>
                <c:pt idx="71">
                  <c:v>39.422461322487834</c:v>
                </c:pt>
                <c:pt idx="72">
                  <c:v>40.508944328704153</c:v>
                </c:pt>
                <c:pt idx="73">
                  <c:v>40.846153155322945</c:v>
                </c:pt>
                <c:pt idx="74">
                  <c:v>41.522071026868552</c:v>
                </c:pt>
                <c:pt idx="75">
                  <c:v>41.727528387307963</c:v>
                </c:pt>
                <c:pt idx="76">
                  <c:v>42.640048280939332</c:v>
                </c:pt>
                <c:pt idx="77">
                  <c:v>42.812685334628107</c:v>
                </c:pt>
                <c:pt idx="78">
                  <c:v>44.98889618673121</c:v>
                </c:pt>
                <c:pt idx="79">
                  <c:v>53.318581193146947</c:v>
                </c:pt>
                <c:pt idx="80">
                  <c:v>54.080701267479618</c:v>
                </c:pt>
                <c:pt idx="81">
                  <c:v>54.113361357884827</c:v>
                </c:pt>
                <c:pt idx="82">
                  <c:v>54.358854003122779</c:v>
                </c:pt>
                <c:pt idx="83">
                  <c:v>62.362297052237004</c:v>
                </c:pt>
                <c:pt idx="84">
                  <c:v>65.940294148704723</c:v>
                </c:pt>
                <c:pt idx="85">
                  <c:v>70.486119231027828</c:v>
                </c:pt>
                <c:pt idx="86">
                  <c:v>84.111358546632104</c:v>
                </c:pt>
                <c:pt idx="87">
                  <c:v>89.890684020000535</c:v>
                </c:pt>
                <c:pt idx="88">
                  <c:v>90.844051025502651</c:v>
                </c:pt>
                <c:pt idx="89">
                  <c:v>94.070440220918428</c:v>
                </c:pt>
                <c:pt idx="90">
                  <c:v>97.134619143806617</c:v>
                </c:pt>
                <c:pt idx="91">
                  <c:v>98.452272241926394</c:v>
                </c:pt>
                <c:pt idx="92">
                  <c:v>98.947469533506691</c:v>
                </c:pt>
                <c:pt idx="93">
                  <c:v>100.95772211677786</c:v>
                </c:pt>
                <c:pt idx="94">
                  <c:v>101.95198532606845</c:v>
                </c:pt>
                <c:pt idx="95">
                  <c:v>102.86713227878788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2322688"/>
        <c:axId val="142332672"/>
      </c:barChart>
      <c:catAx>
        <c:axId val="142322688"/>
        <c:scaling>
          <c:orientation val="minMax"/>
        </c:scaling>
        <c:delete val="0"/>
        <c:axPos val="b"/>
        <c:majorTickMark val="out"/>
        <c:minorTickMark val="none"/>
        <c:tickLblPos val="nextTo"/>
        <c:crossAx val="142332672"/>
        <c:crosses val="autoZero"/>
        <c:auto val="1"/>
        <c:lblAlgn val="ctr"/>
        <c:lblOffset val="100"/>
        <c:tickLblSkip val="1"/>
        <c:noMultiLvlLbl val="0"/>
      </c:catAx>
      <c:valAx>
        <c:axId val="1423326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2800"/>
                  <a:t>Percent growth inhibition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42322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>
              <a:noFill/>
            </a:ln>
          </c:spPr>
          <c:marker>
            <c:spPr>
              <a:solidFill>
                <a:schemeClr val="tx1"/>
              </a:solidFill>
              <a:ln>
                <a:solidFill>
                  <a:sysClr val="windowText" lastClr="000000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summary!$H$2:$H$97</c:f>
                <c:numCache>
                  <c:formatCode>General</c:formatCode>
                  <c:ptCount val="96"/>
                  <c:pt idx="0">
                    <c:v>2.9733969778879303</c:v>
                  </c:pt>
                  <c:pt idx="1">
                    <c:v>6.5051720609170429</c:v>
                  </c:pt>
                  <c:pt idx="2">
                    <c:v>6.0981378770840902</c:v>
                  </c:pt>
                  <c:pt idx="3">
                    <c:v>1.1431993171829902</c:v>
                  </c:pt>
                  <c:pt idx="4">
                    <c:v>5.3960850021528826</c:v>
                  </c:pt>
                  <c:pt idx="5">
                    <c:v>5.7051077841380504</c:v>
                  </c:pt>
                  <c:pt idx="6">
                    <c:v>3.0599675884575581</c:v>
                  </c:pt>
                  <c:pt idx="7">
                    <c:v>6.9704995535796659</c:v>
                  </c:pt>
                  <c:pt idx="8">
                    <c:v>8.5481724387868354</c:v>
                  </c:pt>
                  <c:pt idx="9">
                    <c:v>4.8452309605715511</c:v>
                  </c:pt>
                  <c:pt idx="10">
                    <c:v>4.1391489690368939</c:v>
                  </c:pt>
                  <c:pt idx="11">
                    <c:v>2.6656424372611687</c:v>
                  </c:pt>
                  <c:pt idx="12">
                    <c:v>6.7288823976384311</c:v>
                  </c:pt>
                  <c:pt idx="13">
                    <c:v>5.7345101108415824</c:v>
                  </c:pt>
                  <c:pt idx="14">
                    <c:v>10.339995407703197</c:v>
                  </c:pt>
                  <c:pt idx="15">
                    <c:v>4.1121416241137041</c:v>
                  </c:pt>
                  <c:pt idx="16">
                    <c:v>4.3654832520252169</c:v>
                  </c:pt>
                  <c:pt idx="17">
                    <c:v>4.005187095439438</c:v>
                  </c:pt>
                  <c:pt idx="18">
                    <c:v>0.69777575766961175</c:v>
                  </c:pt>
                  <c:pt idx="19">
                    <c:v>2.2136028407640835</c:v>
                  </c:pt>
                  <c:pt idx="20">
                    <c:v>4.5016153209455485</c:v>
                  </c:pt>
                  <c:pt idx="21">
                    <c:v>7.2260261029871611</c:v>
                  </c:pt>
                  <c:pt idx="22">
                    <c:v>2.1156665469116045</c:v>
                  </c:pt>
                  <c:pt idx="23">
                    <c:v>6.2936927387532275</c:v>
                  </c:pt>
                  <c:pt idx="24">
                    <c:v>3.6915483675040162</c:v>
                  </c:pt>
                  <c:pt idx="25">
                    <c:v>6.8427223024458579</c:v>
                  </c:pt>
                  <c:pt idx="26">
                    <c:v>2.0257709994780249</c:v>
                  </c:pt>
                  <c:pt idx="27">
                    <c:v>3.1100201424280365</c:v>
                  </c:pt>
                  <c:pt idx="28">
                    <c:v>1.7888877307889401</c:v>
                  </c:pt>
                  <c:pt idx="29">
                    <c:v>4.6395538309349869</c:v>
                  </c:pt>
                  <c:pt idx="30">
                    <c:v>6.7183727870559116</c:v>
                  </c:pt>
                  <c:pt idx="31">
                    <c:v>5.1695544405904768</c:v>
                  </c:pt>
                  <c:pt idx="32">
                    <c:v>1.1784935393840299</c:v>
                  </c:pt>
                  <c:pt idx="33">
                    <c:v>4.1310153574346664</c:v>
                  </c:pt>
                  <c:pt idx="34">
                    <c:v>6.4510414529088207</c:v>
                  </c:pt>
                  <c:pt idx="35">
                    <c:v>4.6831780094899838</c:v>
                  </c:pt>
                  <c:pt idx="36">
                    <c:v>4.3617869956940822</c:v>
                  </c:pt>
                  <c:pt idx="37">
                    <c:v>4.0515482786459982</c:v>
                  </c:pt>
                  <c:pt idx="38">
                    <c:v>3.0970060973062767</c:v>
                  </c:pt>
                  <c:pt idx="39">
                    <c:v>5.0516610109743052</c:v>
                  </c:pt>
                  <c:pt idx="40">
                    <c:v>3.9963440935265515</c:v>
                  </c:pt>
                  <c:pt idx="41">
                    <c:v>1.6730640681727103</c:v>
                  </c:pt>
                  <c:pt idx="42">
                    <c:v>4.7094457413889703</c:v>
                  </c:pt>
                  <c:pt idx="43">
                    <c:v>4.2124732558418465</c:v>
                  </c:pt>
                  <c:pt idx="44">
                    <c:v>9.4027411809351289</c:v>
                  </c:pt>
                  <c:pt idx="45">
                    <c:v>3.8329780700255704</c:v>
                  </c:pt>
                  <c:pt idx="46">
                    <c:v>8.6936349187025819</c:v>
                  </c:pt>
                  <c:pt idx="47">
                    <c:v>2.1674051275490229</c:v>
                  </c:pt>
                  <c:pt idx="48">
                    <c:v>7.8731524829031212</c:v>
                  </c:pt>
                  <c:pt idx="49">
                    <c:v>3.2433241470235914</c:v>
                  </c:pt>
                  <c:pt idx="50">
                    <c:v>4.9262717924649913</c:v>
                  </c:pt>
                  <c:pt idx="51">
                    <c:v>6.4512104572513795</c:v>
                  </c:pt>
                  <c:pt idx="52">
                    <c:v>3.5596757404737245</c:v>
                  </c:pt>
                  <c:pt idx="53">
                    <c:v>3.1952628812794455</c:v>
                  </c:pt>
                  <c:pt idx="54">
                    <c:v>2.125154680742332</c:v>
                  </c:pt>
                  <c:pt idx="55">
                    <c:v>5.4605783281950577</c:v>
                  </c:pt>
                  <c:pt idx="56">
                    <c:v>4.7726597263686168</c:v>
                  </c:pt>
                  <c:pt idx="57">
                    <c:v>1.441102481731513</c:v>
                  </c:pt>
                  <c:pt idx="58">
                    <c:v>7.8369836393267844</c:v>
                  </c:pt>
                  <c:pt idx="59">
                    <c:v>9.9135426772337656</c:v>
                  </c:pt>
                  <c:pt idx="60">
                    <c:v>6.3349947319548754</c:v>
                  </c:pt>
                  <c:pt idx="61">
                    <c:v>5.3583219302504315</c:v>
                  </c:pt>
                  <c:pt idx="62">
                    <c:v>11.720474860062163</c:v>
                  </c:pt>
                  <c:pt idx="63">
                    <c:v>7.907014709504173</c:v>
                  </c:pt>
                  <c:pt idx="64">
                    <c:v>4.4281871100660792</c:v>
                  </c:pt>
                  <c:pt idx="65">
                    <c:v>5.9854907893577121</c:v>
                  </c:pt>
                  <c:pt idx="66">
                    <c:v>3.9068517651562913</c:v>
                  </c:pt>
                  <c:pt idx="67">
                    <c:v>9.9049761027445449</c:v>
                  </c:pt>
                  <c:pt idx="68">
                    <c:v>10.755194151767759</c:v>
                  </c:pt>
                  <c:pt idx="69">
                    <c:v>9.7135943875524422</c:v>
                  </c:pt>
                  <c:pt idx="70">
                    <c:v>3.5672665130902241</c:v>
                  </c:pt>
                  <c:pt idx="71">
                    <c:v>3.4852760282240758</c:v>
                  </c:pt>
                  <c:pt idx="72">
                    <c:v>6.3339324268140631</c:v>
                  </c:pt>
                  <c:pt idx="73">
                    <c:v>5.6995764312380581</c:v>
                  </c:pt>
                  <c:pt idx="74">
                    <c:v>6.4652559748815381</c:v>
                  </c:pt>
                  <c:pt idx="75">
                    <c:v>6.2031867315502494</c:v>
                  </c:pt>
                  <c:pt idx="76">
                    <c:v>6.1664612905382201</c:v>
                  </c:pt>
                  <c:pt idx="77">
                    <c:v>4.9233957061665432</c:v>
                  </c:pt>
                  <c:pt idx="78">
                    <c:v>1.4899821079666173</c:v>
                  </c:pt>
                  <c:pt idx="79">
                    <c:v>10.73195239745737</c:v>
                  </c:pt>
                  <c:pt idx="80">
                    <c:v>9.009240918385002</c:v>
                  </c:pt>
                  <c:pt idx="81">
                    <c:v>11.347773651023198</c:v>
                  </c:pt>
                  <c:pt idx="82">
                    <c:v>15.038510819013737</c:v>
                  </c:pt>
                  <c:pt idx="83">
                    <c:v>2.3931125645016635</c:v>
                  </c:pt>
                  <c:pt idx="84">
                    <c:v>4.3640301088528171</c:v>
                  </c:pt>
                  <c:pt idx="85">
                    <c:v>9.118625886254728</c:v>
                  </c:pt>
                  <c:pt idx="86">
                    <c:v>8.4880082239096595</c:v>
                  </c:pt>
                  <c:pt idx="87">
                    <c:v>4.1512204645880804</c:v>
                  </c:pt>
                  <c:pt idx="88">
                    <c:v>5.5254975816348013</c:v>
                  </c:pt>
                  <c:pt idx="89">
                    <c:v>5.0627382457471297</c:v>
                  </c:pt>
                  <c:pt idx="90">
                    <c:v>3.9138654984735983</c:v>
                  </c:pt>
                  <c:pt idx="91">
                    <c:v>4.5345311437574756</c:v>
                  </c:pt>
                  <c:pt idx="92">
                    <c:v>5.2612475116082518</c:v>
                  </c:pt>
                  <c:pt idx="93">
                    <c:v>4.2092017567734716</c:v>
                  </c:pt>
                  <c:pt idx="94">
                    <c:v>5.6440853501541524</c:v>
                  </c:pt>
                  <c:pt idx="95">
                    <c:v>7.9212609194066035</c:v>
                  </c:pt>
                </c:numCache>
              </c:numRef>
            </c:plus>
            <c:minus>
              <c:numRef>
                <c:f>summary!$H$2:$H$97</c:f>
                <c:numCache>
                  <c:formatCode>General</c:formatCode>
                  <c:ptCount val="96"/>
                  <c:pt idx="0">
                    <c:v>2.9733969778879303</c:v>
                  </c:pt>
                  <c:pt idx="1">
                    <c:v>6.5051720609170429</c:v>
                  </c:pt>
                  <c:pt idx="2">
                    <c:v>6.0981378770840902</c:v>
                  </c:pt>
                  <c:pt idx="3">
                    <c:v>1.1431993171829902</c:v>
                  </c:pt>
                  <c:pt idx="4">
                    <c:v>5.3960850021528826</c:v>
                  </c:pt>
                  <c:pt idx="5">
                    <c:v>5.7051077841380504</c:v>
                  </c:pt>
                  <c:pt idx="6">
                    <c:v>3.0599675884575581</c:v>
                  </c:pt>
                  <c:pt idx="7">
                    <c:v>6.9704995535796659</c:v>
                  </c:pt>
                  <c:pt idx="8">
                    <c:v>8.5481724387868354</c:v>
                  </c:pt>
                  <c:pt idx="9">
                    <c:v>4.8452309605715511</c:v>
                  </c:pt>
                  <c:pt idx="10">
                    <c:v>4.1391489690368939</c:v>
                  </c:pt>
                  <c:pt idx="11">
                    <c:v>2.6656424372611687</c:v>
                  </c:pt>
                  <c:pt idx="12">
                    <c:v>6.7288823976384311</c:v>
                  </c:pt>
                  <c:pt idx="13">
                    <c:v>5.7345101108415824</c:v>
                  </c:pt>
                  <c:pt idx="14">
                    <c:v>10.339995407703197</c:v>
                  </c:pt>
                  <c:pt idx="15">
                    <c:v>4.1121416241137041</c:v>
                  </c:pt>
                  <c:pt idx="16">
                    <c:v>4.3654832520252169</c:v>
                  </c:pt>
                  <c:pt idx="17">
                    <c:v>4.005187095439438</c:v>
                  </c:pt>
                  <c:pt idx="18">
                    <c:v>0.69777575766961175</c:v>
                  </c:pt>
                  <c:pt idx="19">
                    <c:v>2.2136028407640835</c:v>
                  </c:pt>
                  <c:pt idx="20">
                    <c:v>4.5016153209455485</c:v>
                  </c:pt>
                  <c:pt idx="21">
                    <c:v>7.2260261029871611</c:v>
                  </c:pt>
                  <c:pt idx="22">
                    <c:v>2.1156665469116045</c:v>
                  </c:pt>
                  <c:pt idx="23">
                    <c:v>6.2936927387532275</c:v>
                  </c:pt>
                  <c:pt idx="24">
                    <c:v>3.6915483675040162</c:v>
                  </c:pt>
                  <c:pt idx="25">
                    <c:v>6.8427223024458579</c:v>
                  </c:pt>
                  <c:pt idx="26">
                    <c:v>2.0257709994780249</c:v>
                  </c:pt>
                  <c:pt idx="27">
                    <c:v>3.1100201424280365</c:v>
                  </c:pt>
                  <c:pt idx="28">
                    <c:v>1.7888877307889401</c:v>
                  </c:pt>
                  <c:pt idx="29">
                    <c:v>4.6395538309349869</c:v>
                  </c:pt>
                  <c:pt idx="30">
                    <c:v>6.7183727870559116</c:v>
                  </c:pt>
                  <c:pt idx="31">
                    <c:v>5.1695544405904768</c:v>
                  </c:pt>
                  <c:pt idx="32">
                    <c:v>1.1784935393840299</c:v>
                  </c:pt>
                  <c:pt idx="33">
                    <c:v>4.1310153574346664</c:v>
                  </c:pt>
                  <c:pt idx="34">
                    <c:v>6.4510414529088207</c:v>
                  </c:pt>
                  <c:pt idx="35">
                    <c:v>4.6831780094899838</c:v>
                  </c:pt>
                  <c:pt idx="36">
                    <c:v>4.3617869956940822</c:v>
                  </c:pt>
                  <c:pt idx="37">
                    <c:v>4.0515482786459982</c:v>
                  </c:pt>
                  <c:pt idx="38">
                    <c:v>3.0970060973062767</c:v>
                  </c:pt>
                  <c:pt idx="39">
                    <c:v>5.0516610109743052</c:v>
                  </c:pt>
                  <c:pt idx="40">
                    <c:v>3.9963440935265515</c:v>
                  </c:pt>
                  <c:pt idx="41">
                    <c:v>1.6730640681727103</c:v>
                  </c:pt>
                  <c:pt idx="42">
                    <c:v>4.7094457413889703</c:v>
                  </c:pt>
                  <c:pt idx="43">
                    <c:v>4.2124732558418465</c:v>
                  </c:pt>
                  <c:pt idx="44">
                    <c:v>9.4027411809351289</c:v>
                  </c:pt>
                  <c:pt idx="45">
                    <c:v>3.8329780700255704</c:v>
                  </c:pt>
                  <c:pt idx="46">
                    <c:v>8.6936349187025819</c:v>
                  </c:pt>
                  <c:pt idx="47">
                    <c:v>2.1674051275490229</c:v>
                  </c:pt>
                  <c:pt idx="48">
                    <c:v>7.8731524829031212</c:v>
                  </c:pt>
                  <c:pt idx="49">
                    <c:v>3.2433241470235914</c:v>
                  </c:pt>
                  <c:pt idx="50">
                    <c:v>4.9262717924649913</c:v>
                  </c:pt>
                  <c:pt idx="51">
                    <c:v>6.4512104572513795</c:v>
                  </c:pt>
                  <c:pt idx="52">
                    <c:v>3.5596757404737245</c:v>
                  </c:pt>
                  <c:pt idx="53">
                    <c:v>3.1952628812794455</c:v>
                  </c:pt>
                  <c:pt idx="54">
                    <c:v>2.125154680742332</c:v>
                  </c:pt>
                  <c:pt idx="55">
                    <c:v>5.4605783281950577</c:v>
                  </c:pt>
                  <c:pt idx="56">
                    <c:v>4.7726597263686168</c:v>
                  </c:pt>
                  <c:pt idx="57">
                    <c:v>1.441102481731513</c:v>
                  </c:pt>
                  <c:pt idx="58">
                    <c:v>7.8369836393267844</c:v>
                  </c:pt>
                  <c:pt idx="59">
                    <c:v>9.9135426772337656</c:v>
                  </c:pt>
                  <c:pt idx="60">
                    <c:v>6.3349947319548754</c:v>
                  </c:pt>
                  <c:pt idx="61">
                    <c:v>5.3583219302504315</c:v>
                  </c:pt>
                  <c:pt idx="62">
                    <c:v>11.720474860062163</c:v>
                  </c:pt>
                  <c:pt idx="63">
                    <c:v>7.907014709504173</c:v>
                  </c:pt>
                  <c:pt idx="64">
                    <c:v>4.4281871100660792</c:v>
                  </c:pt>
                  <c:pt idx="65">
                    <c:v>5.9854907893577121</c:v>
                  </c:pt>
                  <c:pt idx="66">
                    <c:v>3.9068517651562913</c:v>
                  </c:pt>
                  <c:pt idx="67">
                    <c:v>9.9049761027445449</c:v>
                  </c:pt>
                  <c:pt idx="68">
                    <c:v>10.755194151767759</c:v>
                  </c:pt>
                  <c:pt idx="69">
                    <c:v>9.7135943875524422</c:v>
                  </c:pt>
                  <c:pt idx="70">
                    <c:v>3.5672665130902241</c:v>
                  </c:pt>
                  <c:pt idx="71">
                    <c:v>3.4852760282240758</c:v>
                  </c:pt>
                  <c:pt idx="72">
                    <c:v>6.3339324268140631</c:v>
                  </c:pt>
                  <c:pt idx="73">
                    <c:v>5.6995764312380581</c:v>
                  </c:pt>
                  <c:pt idx="74">
                    <c:v>6.4652559748815381</c:v>
                  </c:pt>
                  <c:pt idx="75">
                    <c:v>6.2031867315502494</c:v>
                  </c:pt>
                  <c:pt idx="76">
                    <c:v>6.1664612905382201</c:v>
                  </c:pt>
                  <c:pt idx="77">
                    <c:v>4.9233957061665432</c:v>
                  </c:pt>
                  <c:pt idx="78">
                    <c:v>1.4899821079666173</c:v>
                  </c:pt>
                  <c:pt idx="79">
                    <c:v>10.73195239745737</c:v>
                  </c:pt>
                  <c:pt idx="80">
                    <c:v>9.009240918385002</c:v>
                  </c:pt>
                  <c:pt idx="81">
                    <c:v>11.347773651023198</c:v>
                  </c:pt>
                  <c:pt idx="82">
                    <c:v>15.038510819013737</c:v>
                  </c:pt>
                  <c:pt idx="83">
                    <c:v>2.3931125645016635</c:v>
                  </c:pt>
                  <c:pt idx="84">
                    <c:v>4.3640301088528171</c:v>
                  </c:pt>
                  <c:pt idx="85">
                    <c:v>9.118625886254728</c:v>
                  </c:pt>
                  <c:pt idx="86">
                    <c:v>8.4880082239096595</c:v>
                  </c:pt>
                  <c:pt idx="87">
                    <c:v>4.1512204645880804</c:v>
                  </c:pt>
                  <c:pt idx="88">
                    <c:v>5.5254975816348013</c:v>
                  </c:pt>
                  <c:pt idx="89">
                    <c:v>5.0627382457471297</c:v>
                  </c:pt>
                  <c:pt idx="90">
                    <c:v>3.9138654984735983</c:v>
                  </c:pt>
                  <c:pt idx="91">
                    <c:v>4.5345311437574756</c:v>
                  </c:pt>
                  <c:pt idx="92">
                    <c:v>5.2612475116082518</c:v>
                  </c:pt>
                  <c:pt idx="93">
                    <c:v>4.2092017567734716</c:v>
                  </c:pt>
                  <c:pt idx="94">
                    <c:v>5.6440853501541524</c:v>
                  </c:pt>
                  <c:pt idx="95">
                    <c:v>7.9212609194066035</c:v>
                  </c:pt>
                </c:numCache>
              </c:numRef>
            </c:minus>
          </c:errBars>
          <c:yVal>
            <c:numRef>
              <c:f>summary!$G$2:$G$97</c:f>
              <c:numCache>
                <c:formatCode>General</c:formatCode>
                <c:ptCount val="96"/>
                <c:pt idx="0">
                  <c:v>5.3137970635572378</c:v>
                </c:pt>
                <c:pt idx="1">
                  <c:v>5.3529661827675641</c:v>
                </c:pt>
                <c:pt idx="2">
                  <c:v>6.1989933299092472</c:v>
                </c:pt>
                <c:pt idx="3">
                  <c:v>7.1449521518357537</c:v>
                </c:pt>
                <c:pt idx="4">
                  <c:v>7.9545653195023336</c:v>
                </c:pt>
                <c:pt idx="5">
                  <c:v>8.3469414871783716</c:v>
                </c:pt>
                <c:pt idx="6">
                  <c:v>9.1436820940976506</c:v>
                </c:pt>
                <c:pt idx="7">
                  <c:v>9.3109200032702475</c:v>
                </c:pt>
                <c:pt idx="8">
                  <c:v>11.881581464446105</c:v>
                </c:pt>
                <c:pt idx="9">
                  <c:v>12.035971456563963</c:v>
                </c:pt>
                <c:pt idx="10">
                  <c:v>12.539546013212572</c:v>
                </c:pt>
                <c:pt idx="11">
                  <c:v>12.643648047954626</c:v>
                </c:pt>
                <c:pt idx="12">
                  <c:v>12.696346805287469</c:v>
                </c:pt>
                <c:pt idx="13">
                  <c:v>13.055193941408548</c:v>
                </c:pt>
                <c:pt idx="14">
                  <c:v>13.182941134610644</c:v>
                </c:pt>
                <c:pt idx="15">
                  <c:v>13.429350726622701</c:v>
                </c:pt>
                <c:pt idx="16">
                  <c:v>13.437199276837044</c:v>
                </c:pt>
                <c:pt idx="17">
                  <c:v>13.950671666190933</c:v>
                </c:pt>
                <c:pt idx="18">
                  <c:v>13.998884590213564</c:v>
                </c:pt>
                <c:pt idx="19">
                  <c:v>14.189674109525845</c:v>
                </c:pt>
                <c:pt idx="20">
                  <c:v>14.204636612462769</c:v>
                </c:pt>
                <c:pt idx="21">
                  <c:v>14.669389153167913</c:v>
                </c:pt>
                <c:pt idx="22">
                  <c:v>14.811472207291137</c:v>
                </c:pt>
                <c:pt idx="23">
                  <c:v>15.315776490903124</c:v>
                </c:pt>
                <c:pt idx="24">
                  <c:v>16.044388428109357</c:v>
                </c:pt>
                <c:pt idx="25">
                  <c:v>16.231002323765498</c:v>
                </c:pt>
                <c:pt idx="26">
                  <c:v>16.398352646554084</c:v>
                </c:pt>
                <c:pt idx="27">
                  <c:v>17.153240857694463</c:v>
                </c:pt>
                <c:pt idx="28">
                  <c:v>17.364929422462051</c:v>
                </c:pt>
                <c:pt idx="29">
                  <c:v>17.467978853266356</c:v>
                </c:pt>
                <c:pt idx="30">
                  <c:v>17.962590178611222</c:v>
                </c:pt>
                <c:pt idx="31">
                  <c:v>18.362005069322912</c:v>
                </c:pt>
                <c:pt idx="32">
                  <c:v>19.4520772066187</c:v>
                </c:pt>
                <c:pt idx="33">
                  <c:v>20.519745323031703</c:v>
                </c:pt>
                <c:pt idx="34">
                  <c:v>20.685012654246496</c:v>
                </c:pt>
                <c:pt idx="35">
                  <c:v>21.943559809901625</c:v>
                </c:pt>
                <c:pt idx="36">
                  <c:v>22.303197734232224</c:v>
                </c:pt>
                <c:pt idx="37">
                  <c:v>22.654329207639119</c:v>
                </c:pt>
                <c:pt idx="38">
                  <c:v>22.865595592569857</c:v>
                </c:pt>
                <c:pt idx="39">
                  <c:v>23.839684702230844</c:v>
                </c:pt>
                <c:pt idx="40">
                  <c:v>23.877437475596121</c:v>
                </c:pt>
                <c:pt idx="41">
                  <c:v>25.75309452829158</c:v>
                </c:pt>
                <c:pt idx="42">
                  <c:v>26.621536385656583</c:v>
                </c:pt>
                <c:pt idx="43">
                  <c:v>26.694920394647891</c:v>
                </c:pt>
                <c:pt idx="44">
                  <c:v>27.339088167817451</c:v>
                </c:pt>
                <c:pt idx="45">
                  <c:v>27.683112562906206</c:v>
                </c:pt>
                <c:pt idx="46">
                  <c:v>28.158413547429927</c:v>
                </c:pt>
                <c:pt idx="47">
                  <c:v>29.7443576784122</c:v>
                </c:pt>
                <c:pt idx="48">
                  <c:v>29.843191881648647</c:v>
                </c:pt>
                <c:pt idx="49">
                  <c:v>30.048960229206287</c:v>
                </c:pt>
                <c:pt idx="50">
                  <c:v>30.151993470288961</c:v>
                </c:pt>
                <c:pt idx="51">
                  <c:v>30.79312316300577</c:v>
                </c:pt>
                <c:pt idx="52">
                  <c:v>30.868999022955517</c:v>
                </c:pt>
                <c:pt idx="53">
                  <c:v>30.94192013382802</c:v>
                </c:pt>
                <c:pt idx="54">
                  <c:v>31.065162489911177</c:v>
                </c:pt>
                <c:pt idx="55">
                  <c:v>31.195723494246064</c:v>
                </c:pt>
                <c:pt idx="56">
                  <c:v>31.742304663171058</c:v>
                </c:pt>
                <c:pt idx="57">
                  <c:v>32.223367987039516</c:v>
                </c:pt>
                <c:pt idx="58">
                  <c:v>32.838177951081185</c:v>
                </c:pt>
                <c:pt idx="59">
                  <c:v>33.159434319323594</c:v>
                </c:pt>
                <c:pt idx="60">
                  <c:v>33.399835293149494</c:v>
                </c:pt>
                <c:pt idx="61">
                  <c:v>33.440414164946553</c:v>
                </c:pt>
                <c:pt idx="62">
                  <c:v>33.501410062560119</c:v>
                </c:pt>
                <c:pt idx="63">
                  <c:v>33.738185674378705</c:v>
                </c:pt>
                <c:pt idx="64">
                  <c:v>34.242868960265206</c:v>
                </c:pt>
                <c:pt idx="65">
                  <c:v>35.800913656124273</c:v>
                </c:pt>
                <c:pt idx="66">
                  <c:v>36.189498542973837</c:v>
                </c:pt>
                <c:pt idx="67">
                  <c:v>36.294682798636401</c:v>
                </c:pt>
                <c:pt idx="68">
                  <c:v>36.929063510337585</c:v>
                </c:pt>
                <c:pt idx="69">
                  <c:v>37.093150024177227</c:v>
                </c:pt>
                <c:pt idx="70">
                  <c:v>37.696795672853945</c:v>
                </c:pt>
                <c:pt idx="71">
                  <c:v>39.422461322487834</c:v>
                </c:pt>
                <c:pt idx="72">
                  <c:v>40.508944328704153</c:v>
                </c:pt>
                <c:pt idx="73">
                  <c:v>40.846153155322945</c:v>
                </c:pt>
                <c:pt idx="74">
                  <c:v>41.522071026868552</c:v>
                </c:pt>
                <c:pt idx="75">
                  <c:v>41.727528387307963</c:v>
                </c:pt>
                <c:pt idx="76">
                  <c:v>42.640048280939332</c:v>
                </c:pt>
                <c:pt idx="77">
                  <c:v>42.812685334628107</c:v>
                </c:pt>
                <c:pt idx="78">
                  <c:v>44.98889618673121</c:v>
                </c:pt>
                <c:pt idx="79">
                  <c:v>53.318581193146947</c:v>
                </c:pt>
                <c:pt idx="80">
                  <c:v>54.080701267479618</c:v>
                </c:pt>
                <c:pt idx="81">
                  <c:v>54.113361357884827</c:v>
                </c:pt>
                <c:pt idx="82">
                  <c:v>54.358854003122779</c:v>
                </c:pt>
                <c:pt idx="83">
                  <c:v>62.362297052237004</c:v>
                </c:pt>
                <c:pt idx="84">
                  <c:v>65.940294148704723</c:v>
                </c:pt>
                <c:pt idx="85">
                  <c:v>70.486119231027828</c:v>
                </c:pt>
                <c:pt idx="86">
                  <c:v>84.111358546632104</c:v>
                </c:pt>
                <c:pt idx="87">
                  <c:v>89.890684020000535</c:v>
                </c:pt>
                <c:pt idx="88">
                  <c:v>90.844051025502651</c:v>
                </c:pt>
                <c:pt idx="89">
                  <c:v>94.070440220918428</c:v>
                </c:pt>
                <c:pt idx="90">
                  <c:v>97.134619143806617</c:v>
                </c:pt>
                <c:pt idx="91">
                  <c:v>98.452272241926394</c:v>
                </c:pt>
                <c:pt idx="92">
                  <c:v>98.947469533506691</c:v>
                </c:pt>
                <c:pt idx="93">
                  <c:v>100.95772211677786</c:v>
                </c:pt>
                <c:pt idx="94">
                  <c:v>101.95198532606845</c:v>
                </c:pt>
                <c:pt idx="95">
                  <c:v>102.86713227878788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569024"/>
        <c:axId val="115546752"/>
      </c:scatterChart>
      <c:valAx>
        <c:axId val="115569024"/>
        <c:scaling>
          <c:orientation val="minMax"/>
          <c:max val="100"/>
        </c:scaling>
        <c:delete val="1"/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Deletion Strain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15546752"/>
        <c:crosses val="autoZero"/>
        <c:crossBetween val="midCat"/>
      </c:valAx>
      <c:valAx>
        <c:axId val="115546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600"/>
                </a:pPr>
                <a:r>
                  <a:rPr lang="en-US" sz="1600"/>
                  <a:t>Percent growth inhibtion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1556902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358588</xdr:colOff>
      <xdr:row>11</xdr:row>
      <xdr:rowOff>11205</xdr:rowOff>
    </xdr:from>
    <xdr:to>
      <xdr:col>36</xdr:col>
      <xdr:colOff>78440</xdr:colOff>
      <xdr:row>62</xdr:row>
      <xdr:rowOff>22412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358588</xdr:colOff>
      <xdr:row>68</xdr:row>
      <xdr:rowOff>113179</xdr:rowOff>
    </xdr:from>
    <xdr:to>
      <xdr:col>20</xdr:col>
      <xdr:colOff>312529</xdr:colOff>
      <xdr:row>87</xdr:row>
      <xdr:rowOff>93679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98"/>
  <sheetViews>
    <sheetView topLeftCell="A15" workbookViewId="0">
      <selection activeCell="J3" sqref="J3:J98"/>
    </sheetView>
  </sheetViews>
  <sheetFormatPr defaultRowHeight="15" x14ac:dyDescent="0.25"/>
  <cols>
    <col min="9" max="9" width="9.140625" style="2"/>
  </cols>
  <sheetData>
    <row r="1" spans="1:12" x14ac:dyDescent="0.25">
      <c r="A1" t="s">
        <v>99</v>
      </c>
      <c r="F1" t="s">
        <v>100</v>
      </c>
    </row>
    <row r="2" spans="1:12" x14ac:dyDescent="0.25">
      <c r="B2" t="s">
        <v>96</v>
      </c>
      <c r="C2" t="s">
        <v>97</v>
      </c>
      <c r="D2" t="s">
        <v>98</v>
      </c>
      <c r="G2" t="s">
        <v>96</v>
      </c>
      <c r="H2" t="s">
        <v>97</v>
      </c>
      <c r="J2" t="s">
        <v>101</v>
      </c>
      <c r="L2" t="s">
        <v>102</v>
      </c>
    </row>
    <row r="3" spans="1:12" x14ac:dyDescent="0.25">
      <c r="A3" t="s">
        <v>0</v>
      </c>
      <c r="B3">
        <v>8.1199999999999994E-2</v>
      </c>
      <c r="C3">
        <v>0.21540000000000001</v>
      </c>
      <c r="D3">
        <f>C3-B3</f>
        <v>0.13420000000000001</v>
      </c>
      <c r="F3" t="s">
        <v>0</v>
      </c>
      <c r="G3">
        <v>7.8299999999999995E-2</v>
      </c>
      <c r="H3">
        <v>0.2</v>
      </c>
      <c r="I3" s="2">
        <f>H3+0.04</f>
        <v>0.24000000000000002</v>
      </c>
      <c r="J3">
        <f>(I3-G3)</f>
        <v>0.16170000000000001</v>
      </c>
      <c r="L3">
        <f>((J3-D3)/J3)*100</f>
        <v>17.006802721088434</v>
      </c>
    </row>
    <row r="4" spans="1:12" x14ac:dyDescent="0.25">
      <c r="A4" t="s">
        <v>1</v>
      </c>
      <c r="B4">
        <v>7.8399999999999997E-2</v>
      </c>
      <c r="C4">
        <v>0.22620000000000001</v>
      </c>
      <c r="D4">
        <f t="shared" ref="D4:D67" si="0">C4-B4</f>
        <v>0.14780000000000001</v>
      </c>
      <c r="F4" t="s">
        <v>1</v>
      </c>
      <c r="G4">
        <v>7.8E-2</v>
      </c>
      <c r="H4">
        <v>0.2097</v>
      </c>
      <c r="I4" s="2">
        <f t="shared" ref="I4:I67" si="1">H4+0.04</f>
        <v>0.24970000000000001</v>
      </c>
      <c r="J4" s="2">
        <f t="shared" ref="J4:J67" si="2">(I4-G4)</f>
        <v>0.17170000000000002</v>
      </c>
      <c r="L4">
        <f t="shared" ref="L4:L67" si="3">((J4-D4)/J4)*100</f>
        <v>13.919627256843334</v>
      </c>
    </row>
    <row r="5" spans="1:12" x14ac:dyDescent="0.25">
      <c r="A5" t="s">
        <v>2</v>
      </c>
      <c r="B5">
        <v>8.3799999999999999E-2</v>
      </c>
      <c r="C5">
        <v>0.24129999999999999</v>
      </c>
      <c r="D5">
        <f t="shared" si="0"/>
        <v>0.15749999999999997</v>
      </c>
      <c r="F5" t="s">
        <v>2</v>
      </c>
      <c r="G5">
        <v>7.4800000000000005E-2</v>
      </c>
      <c r="H5">
        <v>0.23169999999999999</v>
      </c>
      <c r="I5" s="2">
        <f t="shared" si="1"/>
        <v>0.2717</v>
      </c>
      <c r="J5" s="2">
        <f t="shared" si="2"/>
        <v>0.19689999999999999</v>
      </c>
      <c r="L5">
        <f t="shared" si="3"/>
        <v>20.010157440325049</v>
      </c>
    </row>
    <row r="6" spans="1:12" x14ac:dyDescent="0.25">
      <c r="A6" t="s">
        <v>3</v>
      </c>
      <c r="B6">
        <v>8.2799999999999999E-2</v>
      </c>
      <c r="C6">
        <v>0.2157</v>
      </c>
      <c r="D6">
        <f t="shared" si="0"/>
        <v>0.13290000000000002</v>
      </c>
      <c r="F6" t="s">
        <v>3</v>
      </c>
      <c r="G6">
        <v>7.8899999999999998E-2</v>
      </c>
      <c r="H6">
        <v>0.20669999999999999</v>
      </c>
      <c r="I6" s="2">
        <f t="shared" si="1"/>
        <v>0.2467</v>
      </c>
      <c r="J6" s="2">
        <f t="shared" si="2"/>
        <v>0.1678</v>
      </c>
      <c r="L6">
        <f t="shared" si="3"/>
        <v>20.798569725864116</v>
      </c>
    </row>
    <row r="7" spans="1:12" x14ac:dyDescent="0.25">
      <c r="A7" t="s">
        <v>4</v>
      </c>
      <c r="B7">
        <v>8.0399999999999999E-2</v>
      </c>
      <c r="C7">
        <v>0.2389</v>
      </c>
      <c r="D7">
        <f t="shared" si="0"/>
        <v>0.1585</v>
      </c>
      <c r="F7" t="s">
        <v>4</v>
      </c>
      <c r="G7">
        <v>8.0399999999999999E-2</v>
      </c>
      <c r="H7">
        <v>0.2293</v>
      </c>
      <c r="I7" s="2">
        <f t="shared" si="1"/>
        <v>0.26929999999999998</v>
      </c>
      <c r="J7" s="2">
        <f t="shared" si="2"/>
        <v>0.18889999999999998</v>
      </c>
      <c r="L7">
        <f t="shared" si="3"/>
        <v>16.093170989941761</v>
      </c>
    </row>
    <row r="8" spans="1:12" x14ac:dyDescent="0.25">
      <c r="A8" t="s">
        <v>5</v>
      </c>
      <c r="B8">
        <v>8.3199999999999996E-2</v>
      </c>
      <c r="C8">
        <v>0.23799999999999999</v>
      </c>
      <c r="D8">
        <f t="shared" si="0"/>
        <v>0.15479999999999999</v>
      </c>
      <c r="F8" t="s">
        <v>5</v>
      </c>
      <c r="G8">
        <v>8.09E-2</v>
      </c>
      <c r="H8">
        <v>0.21659999999999999</v>
      </c>
      <c r="I8" s="2">
        <f t="shared" si="1"/>
        <v>0.25659999999999999</v>
      </c>
      <c r="J8" s="2">
        <f t="shared" si="2"/>
        <v>0.1757</v>
      </c>
      <c r="L8">
        <f t="shared" si="3"/>
        <v>11.895276038702335</v>
      </c>
    </row>
    <row r="9" spans="1:12" x14ac:dyDescent="0.25">
      <c r="A9" t="s">
        <v>6</v>
      </c>
      <c r="B9">
        <v>8.5900000000000004E-2</v>
      </c>
      <c r="C9">
        <v>0.16550000000000001</v>
      </c>
      <c r="D9">
        <f t="shared" si="0"/>
        <v>7.9600000000000004E-2</v>
      </c>
      <c r="F9" t="s">
        <v>6</v>
      </c>
      <c r="G9">
        <v>8.0500000000000002E-2</v>
      </c>
      <c r="H9">
        <v>0.1646</v>
      </c>
      <c r="I9" s="2">
        <f t="shared" si="1"/>
        <v>0.2046</v>
      </c>
      <c r="J9" s="2">
        <f t="shared" si="2"/>
        <v>0.1241</v>
      </c>
      <c r="L9">
        <f t="shared" si="3"/>
        <v>35.858178887993553</v>
      </c>
    </row>
    <row r="10" spans="1:12" x14ac:dyDescent="0.25">
      <c r="A10" t="s">
        <v>7</v>
      </c>
      <c r="B10">
        <v>8.2500000000000004E-2</v>
      </c>
      <c r="C10">
        <v>0.2009</v>
      </c>
      <c r="D10">
        <f t="shared" si="0"/>
        <v>0.11839999999999999</v>
      </c>
      <c r="F10" t="s">
        <v>7</v>
      </c>
      <c r="G10">
        <v>8.2699999999999996E-2</v>
      </c>
      <c r="H10">
        <v>0.19839999999999999</v>
      </c>
      <c r="I10" s="2">
        <f t="shared" si="1"/>
        <v>0.2384</v>
      </c>
      <c r="J10" s="2">
        <f t="shared" si="2"/>
        <v>0.15570000000000001</v>
      </c>
      <c r="L10">
        <f t="shared" si="3"/>
        <v>23.956326268465006</v>
      </c>
    </row>
    <row r="11" spans="1:12" x14ac:dyDescent="0.25">
      <c r="A11" t="s">
        <v>8</v>
      </c>
      <c r="B11">
        <v>8.09E-2</v>
      </c>
      <c r="C11">
        <v>0.22589999999999999</v>
      </c>
      <c r="D11">
        <f t="shared" si="0"/>
        <v>0.14499999999999999</v>
      </c>
      <c r="F11" t="s">
        <v>8</v>
      </c>
      <c r="G11">
        <v>8.2400000000000001E-2</v>
      </c>
      <c r="H11">
        <v>0.21249999999999999</v>
      </c>
      <c r="I11" s="2">
        <f t="shared" si="1"/>
        <v>0.2525</v>
      </c>
      <c r="J11" s="2">
        <f t="shared" si="2"/>
        <v>0.1701</v>
      </c>
      <c r="L11">
        <f t="shared" si="3"/>
        <v>14.756025867136985</v>
      </c>
    </row>
    <row r="12" spans="1:12" x14ac:dyDescent="0.25">
      <c r="A12" t="s">
        <v>9</v>
      </c>
      <c r="B12">
        <v>7.9899999999999999E-2</v>
      </c>
      <c r="C12">
        <v>0.18240000000000001</v>
      </c>
      <c r="D12">
        <f t="shared" si="0"/>
        <v>0.10250000000000001</v>
      </c>
      <c r="F12" t="s">
        <v>9</v>
      </c>
      <c r="G12">
        <v>8.2100000000000006E-2</v>
      </c>
      <c r="H12">
        <v>0.1857</v>
      </c>
      <c r="I12" s="2">
        <f t="shared" si="1"/>
        <v>0.22570000000000001</v>
      </c>
      <c r="J12" s="2">
        <f t="shared" si="2"/>
        <v>0.14360000000000001</v>
      </c>
      <c r="L12">
        <f t="shared" si="3"/>
        <v>28.621169916434535</v>
      </c>
    </row>
    <row r="13" spans="1:12" x14ac:dyDescent="0.25">
      <c r="A13" t="s">
        <v>10</v>
      </c>
      <c r="B13">
        <v>8.09E-2</v>
      </c>
      <c r="C13">
        <v>0.18840000000000001</v>
      </c>
      <c r="D13">
        <f t="shared" si="0"/>
        <v>0.10750000000000001</v>
      </c>
      <c r="F13" t="s">
        <v>10</v>
      </c>
      <c r="G13">
        <v>8.1299999999999997E-2</v>
      </c>
      <c r="H13">
        <v>0.2019</v>
      </c>
      <c r="I13" s="2">
        <f t="shared" si="1"/>
        <v>0.2419</v>
      </c>
      <c r="J13" s="2">
        <f t="shared" si="2"/>
        <v>0.16060000000000002</v>
      </c>
      <c r="L13">
        <f t="shared" si="3"/>
        <v>33.063511830635115</v>
      </c>
    </row>
    <row r="14" spans="1:12" x14ac:dyDescent="0.25">
      <c r="A14" t="s">
        <v>11</v>
      </c>
      <c r="B14">
        <v>8.2000000000000003E-2</v>
      </c>
      <c r="C14">
        <v>0.20880000000000001</v>
      </c>
      <c r="D14">
        <f t="shared" si="0"/>
        <v>0.12680000000000002</v>
      </c>
      <c r="F14" t="s">
        <v>11</v>
      </c>
      <c r="G14">
        <v>8.14E-2</v>
      </c>
      <c r="H14">
        <v>0.19739999999999999</v>
      </c>
      <c r="I14" s="2">
        <f t="shared" si="1"/>
        <v>0.2374</v>
      </c>
      <c r="J14" s="2">
        <f t="shared" si="2"/>
        <v>0.156</v>
      </c>
      <c r="L14">
        <f t="shared" si="3"/>
        <v>18.717948717948701</v>
      </c>
    </row>
    <row r="15" spans="1:12" x14ac:dyDescent="0.25">
      <c r="A15" t="s">
        <v>12</v>
      </c>
      <c r="B15">
        <v>8.8300000000000003E-2</v>
      </c>
      <c r="C15">
        <v>0.17760000000000001</v>
      </c>
      <c r="D15">
        <f t="shared" si="0"/>
        <v>8.9300000000000004E-2</v>
      </c>
      <c r="F15" t="s">
        <v>12</v>
      </c>
      <c r="G15">
        <v>7.9899999999999999E-2</v>
      </c>
      <c r="H15">
        <v>0.21460000000000001</v>
      </c>
      <c r="I15" s="2">
        <f t="shared" si="1"/>
        <v>0.25459999999999999</v>
      </c>
      <c r="J15" s="2">
        <f t="shared" si="2"/>
        <v>0.17469999999999999</v>
      </c>
      <c r="L15">
        <f t="shared" si="3"/>
        <v>48.883800801373781</v>
      </c>
    </row>
    <row r="16" spans="1:12" x14ac:dyDescent="0.25">
      <c r="A16" t="s">
        <v>13</v>
      </c>
      <c r="B16">
        <v>8.2199999999999995E-2</v>
      </c>
      <c r="C16">
        <v>0.18140000000000001</v>
      </c>
      <c r="D16">
        <f t="shared" si="0"/>
        <v>9.920000000000001E-2</v>
      </c>
      <c r="F16" t="s">
        <v>13</v>
      </c>
      <c r="G16">
        <v>8.0100000000000005E-2</v>
      </c>
      <c r="H16">
        <v>0.22459999999999999</v>
      </c>
      <c r="I16" s="2">
        <f t="shared" si="1"/>
        <v>0.2646</v>
      </c>
      <c r="J16" s="2">
        <f t="shared" si="2"/>
        <v>0.1845</v>
      </c>
      <c r="L16">
        <f t="shared" si="3"/>
        <v>46.233062330623298</v>
      </c>
    </row>
    <row r="17" spans="1:12" x14ac:dyDescent="0.25">
      <c r="A17" t="s">
        <v>14</v>
      </c>
      <c r="B17">
        <v>7.8799999999999995E-2</v>
      </c>
      <c r="C17">
        <v>0.1573</v>
      </c>
      <c r="D17">
        <f t="shared" si="0"/>
        <v>7.85E-2</v>
      </c>
      <c r="F17" t="s">
        <v>14</v>
      </c>
      <c r="G17">
        <v>7.6700000000000004E-2</v>
      </c>
      <c r="H17">
        <v>0.2291</v>
      </c>
      <c r="I17" s="2">
        <f t="shared" si="1"/>
        <v>0.26910000000000001</v>
      </c>
      <c r="J17" s="2">
        <f t="shared" si="2"/>
        <v>0.19240000000000002</v>
      </c>
      <c r="L17">
        <f t="shared" si="3"/>
        <v>59.199584199584201</v>
      </c>
    </row>
    <row r="18" spans="1:12" x14ac:dyDescent="0.25">
      <c r="A18" t="s">
        <v>15</v>
      </c>
      <c r="B18">
        <v>8.0100000000000005E-2</v>
      </c>
      <c r="C18">
        <v>0.1603</v>
      </c>
      <c r="D18">
        <f t="shared" si="0"/>
        <v>8.0199999999999994E-2</v>
      </c>
      <c r="F18" t="s">
        <v>15</v>
      </c>
      <c r="G18">
        <v>7.9799999999999996E-2</v>
      </c>
      <c r="H18">
        <v>0.1837</v>
      </c>
      <c r="I18" s="2">
        <f t="shared" si="1"/>
        <v>0.22370000000000001</v>
      </c>
      <c r="J18" s="2">
        <f t="shared" si="2"/>
        <v>0.14390000000000003</v>
      </c>
      <c r="L18">
        <f t="shared" si="3"/>
        <v>44.266851980542057</v>
      </c>
    </row>
    <row r="19" spans="1:12" x14ac:dyDescent="0.25">
      <c r="A19" t="s">
        <v>16</v>
      </c>
      <c r="B19">
        <v>8.6900000000000005E-2</v>
      </c>
      <c r="C19">
        <v>0.21</v>
      </c>
      <c r="D19">
        <f t="shared" si="0"/>
        <v>0.12309999999999999</v>
      </c>
      <c r="F19" t="s">
        <v>16</v>
      </c>
      <c r="G19">
        <v>8.1799999999999998E-2</v>
      </c>
      <c r="H19">
        <v>0.21490000000000001</v>
      </c>
      <c r="I19" s="2">
        <f t="shared" si="1"/>
        <v>0.25490000000000002</v>
      </c>
      <c r="J19" s="2">
        <f t="shared" si="2"/>
        <v>0.17310000000000003</v>
      </c>
      <c r="L19">
        <f t="shared" si="3"/>
        <v>28.885037550548837</v>
      </c>
    </row>
    <row r="20" spans="1:12" x14ac:dyDescent="0.25">
      <c r="A20" t="s">
        <v>17</v>
      </c>
      <c r="B20">
        <v>8.2600000000000007E-2</v>
      </c>
      <c r="C20">
        <v>0.15770000000000001</v>
      </c>
      <c r="D20">
        <f t="shared" si="0"/>
        <v>7.51E-2</v>
      </c>
      <c r="F20" t="s">
        <v>17</v>
      </c>
      <c r="G20">
        <v>8.0199999999999994E-2</v>
      </c>
      <c r="H20">
        <v>0.16170000000000001</v>
      </c>
      <c r="I20" s="2">
        <f t="shared" si="1"/>
        <v>0.20170000000000002</v>
      </c>
      <c r="J20" s="2">
        <f t="shared" si="2"/>
        <v>0.12150000000000002</v>
      </c>
      <c r="L20">
        <f t="shared" si="3"/>
        <v>38.189300411522645</v>
      </c>
    </row>
    <row r="21" spans="1:12" x14ac:dyDescent="0.25">
      <c r="A21" t="s">
        <v>18</v>
      </c>
      <c r="B21">
        <v>8.1900000000000001E-2</v>
      </c>
      <c r="C21">
        <v>0.22900000000000001</v>
      </c>
      <c r="D21">
        <f t="shared" si="0"/>
        <v>0.14710000000000001</v>
      </c>
      <c r="F21" t="s">
        <v>18</v>
      </c>
      <c r="G21">
        <v>7.7399999999999997E-2</v>
      </c>
      <c r="H21">
        <v>0.20369999999999999</v>
      </c>
      <c r="I21" s="2">
        <f t="shared" si="1"/>
        <v>0.2437</v>
      </c>
      <c r="J21" s="2">
        <f t="shared" si="2"/>
        <v>0.1663</v>
      </c>
      <c r="L21">
        <f t="shared" si="3"/>
        <v>11.545399879735415</v>
      </c>
    </row>
    <row r="22" spans="1:12" x14ac:dyDescent="0.25">
      <c r="A22" t="s">
        <v>19</v>
      </c>
      <c r="B22">
        <v>8.1299999999999997E-2</v>
      </c>
      <c r="C22">
        <v>0.12509999999999999</v>
      </c>
      <c r="D22">
        <f t="shared" si="0"/>
        <v>4.3799999999999992E-2</v>
      </c>
      <c r="F22" t="s">
        <v>19</v>
      </c>
      <c r="G22">
        <v>8.0299999999999996E-2</v>
      </c>
      <c r="H22">
        <v>0.21340000000000001</v>
      </c>
      <c r="I22" s="2">
        <f t="shared" si="1"/>
        <v>0.25340000000000001</v>
      </c>
      <c r="J22" s="2">
        <f t="shared" si="2"/>
        <v>0.17310000000000003</v>
      </c>
      <c r="L22">
        <f t="shared" si="3"/>
        <v>74.696707105719241</v>
      </c>
    </row>
    <row r="23" spans="1:12" x14ac:dyDescent="0.25">
      <c r="A23" t="s">
        <v>20</v>
      </c>
      <c r="B23">
        <v>7.8299999999999995E-2</v>
      </c>
      <c r="C23">
        <v>0.22459999999999999</v>
      </c>
      <c r="D23">
        <f t="shared" si="0"/>
        <v>0.14629999999999999</v>
      </c>
      <c r="F23" t="s">
        <v>20</v>
      </c>
      <c r="G23">
        <v>8.1500000000000003E-2</v>
      </c>
      <c r="H23">
        <v>0.1981</v>
      </c>
      <c r="I23" s="2">
        <f t="shared" si="1"/>
        <v>0.23810000000000001</v>
      </c>
      <c r="J23" s="2">
        <f t="shared" si="2"/>
        <v>0.15660000000000002</v>
      </c>
      <c r="L23">
        <f t="shared" si="3"/>
        <v>6.5772669220945286</v>
      </c>
    </row>
    <row r="24" spans="1:12" x14ac:dyDescent="0.25">
      <c r="A24" t="s">
        <v>21</v>
      </c>
      <c r="B24">
        <v>8.0199999999999994E-2</v>
      </c>
      <c r="C24">
        <v>0.1971</v>
      </c>
      <c r="D24">
        <f t="shared" si="0"/>
        <v>0.1169</v>
      </c>
      <c r="F24" t="s">
        <v>21</v>
      </c>
      <c r="G24">
        <v>8.2299999999999998E-2</v>
      </c>
      <c r="H24">
        <v>0.2014</v>
      </c>
      <c r="I24" s="2">
        <f t="shared" si="1"/>
        <v>0.2414</v>
      </c>
      <c r="J24" s="2">
        <f t="shared" si="2"/>
        <v>0.15910000000000002</v>
      </c>
      <c r="L24">
        <f t="shared" si="3"/>
        <v>26.524198617221877</v>
      </c>
    </row>
    <row r="25" spans="1:12" x14ac:dyDescent="0.25">
      <c r="A25" t="s">
        <v>22</v>
      </c>
      <c r="B25">
        <v>8.2799999999999999E-2</v>
      </c>
      <c r="C25">
        <v>0.22</v>
      </c>
      <c r="D25">
        <f t="shared" si="0"/>
        <v>0.13719999999999999</v>
      </c>
      <c r="F25" t="s">
        <v>22</v>
      </c>
      <c r="G25">
        <v>8.5500000000000007E-2</v>
      </c>
      <c r="H25">
        <v>0.2329</v>
      </c>
      <c r="I25" s="2">
        <f t="shared" si="1"/>
        <v>0.27289999999999998</v>
      </c>
      <c r="J25" s="2">
        <f t="shared" si="2"/>
        <v>0.18739999999999996</v>
      </c>
      <c r="L25">
        <f t="shared" si="3"/>
        <v>26.78762006403414</v>
      </c>
    </row>
    <row r="26" spans="1:12" x14ac:dyDescent="0.25">
      <c r="A26" t="s">
        <v>23</v>
      </c>
      <c r="B26">
        <v>8.2199999999999995E-2</v>
      </c>
      <c r="C26">
        <v>0.20100000000000001</v>
      </c>
      <c r="D26">
        <f t="shared" si="0"/>
        <v>0.11880000000000002</v>
      </c>
      <c r="F26" t="s">
        <v>23</v>
      </c>
      <c r="G26">
        <v>8.1799999999999998E-2</v>
      </c>
      <c r="H26">
        <v>0.20899999999999999</v>
      </c>
      <c r="I26" s="2">
        <f t="shared" si="1"/>
        <v>0.249</v>
      </c>
      <c r="J26" s="2">
        <f t="shared" si="2"/>
        <v>0.16720000000000002</v>
      </c>
      <c r="L26">
        <f t="shared" si="3"/>
        <v>28.947368421052627</v>
      </c>
    </row>
    <row r="27" spans="1:12" x14ac:dyDescent="0.25">
      <c r="A27" t="s">
        <v>24</v>
      </c>
      <c r="B27">
        <v>8.0399999999999999E-2</v>
      </c>
      <c r="C27">
        <v>0.13220000000000001</v>
      </c>
      <c r="D27">
        <f t="shared" si="0"/>
        <v>5.1800000000000013E-2</v>
      </c>
      <c r="F27" t="s">
        <v>24</v>
      </c>
      <c r="G27">
        <v>7.9500000000000001E-2</v>
      </c>
      <c r="H27">
        <v>0.17829999999999999</v>
      </c>
      <c r="I27" s="2">
        <f t="shared" si="1"/>
        <v>0.21829999999999999</v>
      </c>
      <c r="J27" s="2">
        <f t="shared" si="2"/>
        <v>0.13879999999999998</v>
      </c>
      <c r="L27">
        <f t="shared" si="3"/>
        <v>62.680115273775208</v>
      </c>
    </row>
    <row r="28" spans="1:12" x14ac:dyDescent="0.25">
      <c r="A28" t="s">
        <v>25</v>
      </c>
      <c r="B28">
        <v>8.1500000000000003E-2</v>
      </c>
      <c r="C28">
        <v>0.19550000000000001</v>
      </c>
      <c r="D28">
        <f t="shared" si="0"/>
        <v>0.114</v>
      </c>
      <c r="F28" t="s">
        <v>25</v>
      </c>
      <c r="G28">
        <v>7.9600000000000004E-2</v>
      </c>
      <c r="H28">
        <v>0.18790000000000001</v>
      </c>
      <c r="I28" s="2">
        <f t="shared" si="1"/>
        <v>0.22790000000000002</v>
      </c>
      <c r="J28" s="2">
        <f t="shared" si="2"/>
        <v>0.14830000000000002</v>
      </c>
      <c r="L28">
        <f t="shared" si="3"/>
        <v>23.128792987188138</v>
      </c>
    </row>
    <row r="29" spans="1:12" x14ac:dyDescent="0.25">
      <c r="A29" t="s">
        <v>26</v>
      </c>
      <c r="B29">
        <v>8.4000000000000005E-2</v>
      </c>
      <c r="C29">
        <v>0.2276</v>
      </c>
      <c r="D29">
        <f t="shared" si="0"/>
        <v>0.14360000000000001</v>
      </c>
      <c r="F29" t="s">
        <v>26</v>
      </c>
      <c r="G29">
        <v>7.9799999999999996E-2</v>
      </c>
      <c r="H29">
        <v>0.2097</v>
      </c>
      <c r="I29" s="2">
        <f t="shared" si="1"/>
        <v>0.24970000000000001</v>
      </c>
      <c r="J29" s="2">
        <f t="shared" si="2"/>
        <v>0.1699</v>
      </c>
      <c r="L29">
        <f t="shared" si="3"/>
        <v>15.479693937610353</v>
      </c>
    </row>
    <row r="30" spans="1:12" x14ac:dyDescent="0.25">
      <c r="A30" t="s">
        <v>27</v>
      </c>
      <c r="B30">
        <v>8.2100000000000006E-2</v>
      </c>
      <c r="C30">
        <v>0.1762</v>
      </c>
      <c r="D30">
        <f t="shared" si="0"/>
        <v>9.4099999999999989E-2</v>
      </c>
      <c r="F30" t="s">
        <v>27</v>
      </c>
      <c r="G30">
        <v>8.0100000000000005E-2</v>
      </c>
      <c r="H30">
        <v>0.19700000000000001</v>
      </c>
      <c r="I30" s="2">
        <f t="shared" si="1"/>
        <v>0.23700000000000002</v>
      </c>
      <c r="J30" s="2">
        <f t="shared" si="2"/>
        <v>0.15690000000000001</v>
      </c>
      <c r="L30">
        <f t="shared" si="3"/>
        <v>40.025493945188032</v>
      </c>
    </row>
    <row r="31" spans="1:12" x14ac:dyDescent="0.25">
      <c r="A31" t="s">
        <v>28</v>
      </c>
      <c r="B31">
        <v>8.5999999999999993E-2</v>
      </c>
      <c r="C31">
        <v>0.2303</v>
      </c>
      <c r="D31">
        <f t="shared" si="0"/>
        <v>0.14430000000000001</v>
      </c>
      <c r="F31" t="s">
        <v>28</v>
      </c>
      <c r="G31">
        <v>8.0100000000000005E-2</v>
      </c>
      <c r="H31">
        <v>0.21690000000000001</v>
      </c>
      <c r="I31" s="2">
        <f t="shared" si="1"/>
        <v>0.25690000000000002</v>
      </c>
      <c r="J31" s="2">
        <f t="shared" si="2"/>
        <v>0.17680000000000001</v>
      </c>
      <c r="L31">
        <f t="shared" si="3"/>
        <v>18.382352941176467</v>
      </c>
    </row>
    <row r="32" spans="1:12" x14ac:dyDescent="0.25">
      <c r="A32" t="s">
        <v>29</v>
      </c>
      <c r="B32">
        <v>8.43E-2</v>
      </c>
      <c r="C32">
        <v>0.2298</v>
      </c>
      <c r="D32">
        <f t="shared" si="0"/>
        <v>0.14550000000000002</v>
      </c>
      <c r="F32" t="s">
        <v>29</v>
      </c>
      <c r="G32">
        <v>8.4699999999999998E-2</v>
      </c>
      <c r="H32">
        <v>0.21729999999999999</v>
      </c>
      <c r="I32" s="2">
        <f t="shared" si="1"/>
        <v>0.25729999999999997</v>
      </c>
      <c r="J32" s="2">
        <f t="shared" si="2"/>
        <v>0.17259999999999998</v>
      </c>
      <c r="L32">
        <f t="shared" si="3"/>
        <v>15.701042873696386</v>
      </c>
    </row>
    <row r="33" spans="1:12" x14ac:dyDescent="0.25">
      <c r="A33" t="s">
        <v>30</v>
      </c>
      <c r="B33">
        <v>8.2400000000000001E-2</v>
      </c>
      <c r="C33">
        <v>8.9099999999999999E-2</v>
      </c>
      <c r="D33">
        <f t="shared" si="0"/>
        <v>6.6999999999999976E-3</v>
      </c>
      <c r="F33" t="s">
        <v>30</v>
      </c>
      <c r="G33">
        <v>8.2199999999999995E-2</v>
      </c>
      <c r="H33">
        <v>8.5599999999999996E-2</v>
      </c>
      <c r="I33" s="2">
        <f t="shared" si="1"/>
        <v>0.12559999999999999</v>
      </c>
      <c r="J33" s="2">
        <f t="shared" si="2"/>
        <v>4.3399999999999994E-2</v>
      </c>
      <c r="L33">
        <f t="shared" si="3"/>
        <v>84.562211981566833</v>
      </c>
    </row>
    <row r="34" spans="1:12" x14ac:dyDescent="0.25">
      <c r="A34" t="s">
        <v>31</v>
      </c>
      <c r="B34">
        <v>8.1000000000000003E-2</v>
      </c>
      <c r="C34">
        <v>0.186</v>
      </c>
      <c r="D34">
        <f t="shared" si="0"/>
        <v>0.105</v>
      </c>
      <c r="F34" t="s">
        <v>31</v>
      </c>
      <c r="G34">
        <v>8.4699999999999998E-2</v>
      </c>
      <c r="H34">
        <v>0.1971</v>
      </c>
      <c r="I34" s="2">
        <f t="shared" si="1"/>
        <v>0.23710000000000001</v>
      </c>
      <c r="J34" s="2">
        <f t="shared" si="2"/>
        <v>0.15240000000000001</v>
      </c>
      <c r="L34">
        <f t="shared" si="3"/>
        <v>31.102362204724415</v>
      </c>
    </row>
    <row r="35" spans="1:12" x14ac:dyDescent="0.25">
      <c r="A35" t="s">
        <v>32</v>
      </c>
      <c r="B35">
        <v>8.2799999999999999E-2</v>
      </c>
      <c r="C35">
        <v>0.1865</v>
      </c>
      <c r="D35">
        <f t="shared" si="0"/>
        <v>0.1037</v>
      </c>
      <c r="F35" t="s">
        <v>32</v>
      </c>
      <c r="G35">
        <v>8.2100000000000006E-2</v>
      </c>
      <c r="H35">
        <v>0.1986</v>
      </c>
      <c r="I35" s="2">
        <f t="shared" si="1"/>
        <v>0.23860000000000001</v>
      </c>
      <c r="J35" s="2">
        <f t="shared" si="2"/>
        <v>0.1565</v>
      </c>
      <c r="L35">
        <f t="shared" si="3"/>
        <v>33.738019169329078</v>
      </c>
    </row>
    <row r="36" spans="1:12" x14ac:dyDescent="0.25">
      <c r="A36" t="s">
        <v>33</v>
      </c>
      <c r="B36">
        <v>8.2799999999999999E-2</v>
      </c>
      <c r="C36">
        <v>0.2326</v>
      </c>
      <c r="D36">
        <f t="shared" si="0"/>
        <v>0.14979999999999999</v>
      </c>
      <c r="F36" t="s">
        <v>33</v>
      </c>
      <c r="G36">
        <v>8.1900000000000001E-2</v>
      </c>
      <c r="H36">
        <v>0.2014</v>
      </c>
      <c r="I36" s="2">
        <f t="shared" si="1"/>
        <v>0.2414</v>
      </c>
      <c r="J36" s="2">
        <f t="shared" si="2"/>
        <v>0.1595</v>
      </c>
      <c r="L36">
        <f t="shared" si="3"/>
        <v>6.0815047021943656</v>
      </c>
    </row>
    <row r="37" spans="1:12" x14ac:dyDescent="0.25">
      <c r="A37" t="s">
        <v>34</v>
      </c>
      <c r="B37">
        <v>8.2100000000000006E-2</v>
      </c>
      <c r="C37">
        <v>0.20280000000000001</v>
      </c>
      <c r="D37">
        <f t="shared" si="0"/>
        <v>0.1207</v>
      </c>
      <c r="F37" t="s">
        <v>34</v>
      </c>
      <c r="G37">
        <v>8.1699999999999995E-2</v>
      </c>
      <c r="H37">
        <v>0.18609999999999999</v>
      </c>
      <c r="I37" s="2">
        <f t="shared" si="1"/>
        <v>0.2261</v>
      </c>
      <c r="J37" s="2">
        <f t="shared" si="2"/>
        <v>0.1444</v>
      </c>
      <c r="L37">
        <f t="shared" si="3"/>
        <v>16.412742382271468</v>
      </c>
    </row>
    <row r="38" spans="1:12" x14ac:dyDescent="0.25">
      <c r="A38" t="s">
        <v>35</v>
      </c>
      <c r="B38">
        <v>8.0699999999999994E-2</v>
      </c>
      <c r="C38">
        <v>0.23019999999999999</v>
      </c>
      <c r="D38">
        <f t="shared" si="0"/>
        <v>0.14949999999999999</v>
      </c>
      <c r="F38" t="s">
        <v>35</v>
      </c>
      <c r="G38">
        <v>7.8700000000000006E-2</v>
      </c>
      <c r="H38">
        <v>0.21299999999999999</v>
      </c>
      <c r="I38" s="2">
        <f t="shared" si="1"/>
        <v>0.253</v>
      </c>
      <c r="J38" s="2">
        <f t="shared" si="2"/>
        <v>0.17430000000000001</v>
      </c>
      <c r="L38">
        <f t="shared" si="3"/>
        <v>14.228341939185322</v>
      </c>
    </row>
    <row r="39" spans="1:12" x14ac:dyDescent="0.25">
      <c r="A39" t="s">
        <v>36</v>
      </c>
      <c r="B39">
        <v>8.2299999999999998E-2</v>
      </c>
      <c r="C39">
        <v>0.19289999999999999</v>
      </c>
      <c r="D39">
        <f t="shared" si="0"/>
        <v>0.11059999999999999</v>
      </c>
      <c r="F39" t="s">
        <v>36</v>
      </c>
      <c r="G39">
        <v>8.0699999999999994E-2</v>
      </c>
      <c r="H39">
        <v>0.22370000000000001</v>
      </c>
      <c r="I39" s="2">
        <f t="shared" si="1"/>
        <v>0.26369999999999999</v>
      </c>
      <c r="J39" s="2">
        <f t="shared" si="2"/>
        <v>0.183</v>
      </c>
      <c r="L39">
        <f t="shared" si="3"/>
        <v>39.562841530054648</v>
      </c>
    </row>
    <row r="40" spans="1:12" x14ac:dyDescent="0.25">
      <c r="A40" t="s">
        <v>37</v>
      </c>
      <c r="B40">
        <v>8.4000000000000005E-2</v>
      </c>
      <c r="C40">
        <v>0.1973</v>
      </c>
      <c r="D40">
        <f t="shared" si="0"/>
        <v>0.1133</v>
      </c>
      <c r="F40" t="s">
        <v>37</v>
      </c>
      <c r="G40">
        <v>7.9799999999999996E-2</v>
      </c>
      <c r="H40">
        <v>0.19719999999999999</v>
      </c>
      <c r="I40" s="2">
        <f t="shared" si="1"/>
        <v>0.23719999999999999</v>
      </c>
      <c r="J40" s="2">
        <f t="shared" si="2"/>
        <v>0.15739999999999998</v>
      </c>
      <c r="L40">
        <f t="shared" si="3"/>
        <v>28.017789072426929</v>
      </c>
    </row>
    <row r="41" spans="1:12" x14ac:dyDescent="0.25">
      <c r="A41" t="s">
        <v>38</v>
      </c>
      <c r="B41">
        <v>8.0500000000000002E-2</v>
      </c>
      <c r="C41">
        <v>0.21820000000000001</v>
      </c>
      <c r="D41">
        <f t="shared" si="0"/>
        <v>0.13769999999999999</v>
      </c>
      <c r="F41" t="s">
        <v>38</v>
      </c>
      <c r="G41">
        <v>7.9299999999999995E-2</v>
      </c>
      <c r="H41">
        <v>0.21690000000000001</v>
      </c>
      <c r="I41" s="2">
        <f t="shared" si="1"/>
        <v>0.25690000000000002</v>
      </c>
      <c r="J41" s="2">
        <f t="shared" si="2"/>
        <v>0.17760000000000004</v>
      </c>
      <c r="L41">
        <f t="shared" si="3"/>
        <v>22.466216216216235</v>
      </c>
    </row>
    <row r="42" spans="1:12" x14ac:dyDescent="0.25">
      <c r="A42" t="s">
        <v>39</v>
      </c>
      <c r="B42">
        <v>7.7799999999999994E-2</v>
      </c>
      <c r="C42">
        <v>0.20050000000000001</v>
      </c>
      <c r="D42">
        <f t="shared" si="0"/>
        <v>0.12270000000000002</v>
      </c>
      <c r="F42" t="s">
        <v>39</v>
      </c>
      <c r="G42">
        <v>7.6999999999999999E-2</v>
      </c>
      <c r="H42">
        <v>0.2072</v>
      </c>
      <c r="I42" s="2">
        <f t="shared" si="1"/>
        <v>0.2472</v>
      </c>
      <c r="J42" s="2">
        <f t="shared" si="2"/>
        <v>0.17020000000000002</v>
      </c>
      <c r="L42">
        <f t="shared" si="3"/>
        <v>27.908343125734426</v>
      </c>
    </row>
    <row r="43" spans="1:12" x14ac:dyDescent="0.25">
      <c r="A43" t="s">
        <v>40</v>
      </c>
      <c r="B43">
        <v>8.6599999999999996E-2</v>
      </c>
      <c r="C43">
        <v>0.21029999999999999</v>
      </c>
      <c r="D43">
        <f t="shared" si="0"/>
        <v>0.12369999999999999</v>
      </c>
      <c r="F43" t="s">
        <v>40</v>
      </c>
      <c r="G43">
        <v>8.3400000000000002E-2</v>
      </c>
      <c r="H43">
        <v>0.2233</v>
      </c>
      <c r="I43" s="2">
        <f t="shared" si="1"/>
        <v>0.26329999999999998</v>
      </c>
      <c r="J43" s="2">
        <f t="shared" si="2"/>
        <v>0.17989999999999998</v>
      </c>
      <c r="L43">
        <f t="shared" si="3"/>
        <v>31.239577543079484</v>
      </c>
    </row>
    <row r="44" spans="1:12" x14ac:dyDescent="0.25">
      <c r="A44" t="s">
        <v>41</v>
      </c>
      <c r="B44">
        <v>8.43E-2</v>
      </c>
      <c r="C44">
        <v>0.20949999999999999</v>
      </c>
      <c r="D44">
        <f t="shared" si="0"/>
        <v>0.12519999999999998</v>
      </c>
      <c r="F44" t="s">
        <v>41</v>
      </c>
      <c r="G44">
        <v>8.0299999999999996E-2</v>
      </c>
      <c r="H44">
        <v>0.1862</v>
      </c>
      <c r="I44" s="2">
        <f t="shared" si="1"/>
        <v>0.22620000000000001</v>
      </c>
      <c r="J44" s="2">
        <f t="shared" si="2"/>
        <v>0.14590000000000003</v>
      </c>
      <c r="L44">
        <f t="shared" si="3"/>
        <v>14.187799862919839</v>
      </c>
    </row>
    <row r="45" spans="1:12" x14ac:dyDescent="0.25">
      <c r="A45" t="s">
        <v>42</v>
      </c>
      <c r="B45">
        <v>8.5599999999999996E-2</v>
      </c>
      <c r="C45">
        <v>0.1832</v>
      </c>
      <c r="D45">
        <f t="shared" si="0"/>
        <v>9.7600000000000006E-2</v>
      </c>
      <c r="F45" t="s">
        <v>42</v>
      </c>
      <c r="G45">
        <v>8.1699999999999995E-2</v>
      </c>
      <c r="H45">
        <v>0.1865</v>
      </c>
      <c r="I45" s="2">
        <f t="shared" si="1"/>
        <v>0.22650000000000001</v>
      </c>
      <c r="J45" s="2">
        <f t="shared" si="2"/>
        <v>0.14480000000000001</v>
      </c>
      <c r="L45">
        <f t="shared" si="3"/>
        <v>32.596685082872931</v>
      </c>
    </row>
    <row r="46" spans="1:12" x14ac:dyDescent="0.25">
      <c r="A46" t="s">
        <v>43</v>
      </c>
      <c r="B46">
        <v>8.1600000000000006E-2</v>
      </c>
      <c r="C46">
        <v>0.17199999999999999</v>
      </c>
      <c r="D46">
        <f t="shared" si="0"/>
        <v>9.039999999999998E-2</v>
      </c>
      <c r="F46" t="s">
        <v>43</v>
      </c>
      <c r="G46">
        <v>8.09E-2</v>
      </c>
      <c r="H46">
        <v>0.20810000000000001</v>
      </c>
      <c r="I46" s="2">
        <f t="shared" si="1"/>
        <v>0.24810000000000001</v>
      </c>
      <c r="J46" s="2">
        <f t="shared" si="2"/>
        <v>0.16720000000000002</v>
      </c>
      <c r="L46">
        <f t="shared" si="3"/>
        <v>45.933014354067005</v>
      </c>
    </row>
    <row r="47" spans="1:12" x14ac:dyDescent="0.25">
      <c r="A47" t="s">
        <v>44</v>
      </c>
      <c r="B47">
        <v>8.2699999999999996E-2</v>
      </c>
      <c r="C47">
        <v>0.22159999999999999</v>
      </c>
      <c r="D47">
        <f t="shared" si="0"/>
        <v>0.1389</v>
      </c>
      <c r="F47" t="s">
        <v>44</v>
      </c>
      <c r="G47">
        <v>8.14E-2</v>
      </c>
      <c r="H47">
        <v>0.21299999999999999</v>
      </c>
      <c r="I47" s="2">
        <f t="shared" si="1"/>
        <v>0.253</v>
      </c>
      <c r="J47" s="2">
        <f t="shared" si="2"/>
        <v>0.1716</v>
      </c>
      <c r="L47">
        <f t="shared" si="3"/>
        <v>19.05594405594406</v>
      </c>
    </row>
    <row r="48" spans="1:12" x14ac:dyDescent="0.25">
      <c r="A48" t="s">
        <v>45</v>
      </c>
      <c r="B48">
        <v>8.1799999999999998E-2</v>
      </c>
      <c r="C48">
        <v>9.3200000000000005E-2</v>
      </c>
      <c r="D48">
        <f t="shared" si="0"/>
        <v>1.1400000000000007E-2</v>
      </c>
      <c r="F48" t="s">
        <v>45</v>
      </c>
      <c r="G48">
        <v>8.09E-2</v>
      </c>
      <c r="H48">
        <v>0.1182</v>
      </c>
      <c r="I48" s="2">
        <f t="shared" si="1"/>
        <v>0.15820000000000001</v>
      </c>
      <c r="J48" s="2">
        <f t="shared" si="2"/>
        <v>7.7300000000000008E-2</v>
      </c>
      <c r="L48">
        <f t="shared" si="3"/>
        <v>85.252263906856399</v>
      </c>
    </row>
    <row r="49" spans="1:12" x14ac:dyDescent="0.25">
      <c r="A49" t="s">
        <v>46</v>
      </c>
      <c r="B49">
        <v>8.2799999999999999E-2</v>
      </c>
      <c r="C49">
        <v>0.1915</v>
      </c>
      <c r="D49">
        <f t="shared" si="0"/>
        <v>0.1087</v>
      </c>
      <c r="F49" t="s">
        <v>46</v>
      </c>
      <c r="G49">
        <v>7.9399999999999998E-2</v>
      </c>
      <c r="H49">
        <v>0.2034</v>
      </c>
      <c r="I49" s="2">
        <f t="shared" si="1"/>
        <v>0.24340000000000001</v>
      </c>
      <c r="J49" s="2">
        <f t="shared" si="2"/>
        <v>0.16400000000000001</v>
      </c>
      <c r="L49">
        <f t="shared" si="3"/>
        <v>33.719512195121951</v>
      </c>
    </row>
    <row r="50" spans="1:12" x14ac:dyDescent="0.25">
      <c r="A50" t="s">
        <v>47</v>
      </c>
      <c r="B50">
        <v>7.9899999999999999E-2</v>
      </c>
      <c r="C50">
        <v>0.16300000000000001</v>
      </c>
      <c r="D50">
        <f t="shared" si="0"/>
        <v>8.3100000000000007E-2</v>
      </c>
      <c r="F50" t="s">
        <v>47</v>
      </c>
      <c r="G50">
        <v>7.8799999999999995E-2</v>
      </c>
      <c r="H50">
        <v>0.16839999999999999</v>
      </c>
      <c r="I50" s="2">
        <f t="shared" si="1"/>
        <v>0.2084</v>
      </c>
      <c r="J50" s="2">
        <f t="shared" si="2"/>
        <v>0.12959999999999999</v>
      </c>
      <c r="L50">
        <f t="shared" si="3"/>
        <v>35.879629629629619</v>
      </c>
    </row>
    <row r="51" spans="1:12" x14ac:dyDescent="0.25">
      <c r="A51" t="s">
        <v>48</v>
      </c>
      <c r="B51">
        <v>8.3000000000000004E-2</v>
      </c>
      <c r="C51">
        <v>0.2228</v>
      </c>
      <c r="D51">
        <f t="shared" si="0"/>
        <v>0.13979999999999998</v>
      </c>
      <c r="F51" t="s">
        <v>48</v>
      </c>
      <c r="G51">
        <v>8.1199999999999994E-2</v>
      </c>
      <c r="H51">
        <v>0.21279999999999999</v>
      </c>
      <c r="I51" s="2">
        <f t="shared" si="1"/>
        <v>0.25279999999999997</v>
      </c>
      <c r="J51" s="2">
        <f t="shared" si="2"/>
        <v>0.17159999999999997</v>
      </c>
      <c r="L51">
        <f t="shared" si="3"/>
        <v>18.53146853146853</v>
      </c>
    </row>
    <row r="52" spans="1:12" x14ac:dyDescent="0.25">
      <c r="A52" t="s">
        <v>49</v>
      </c>
      <c r="B52">
        <v>8.4500000000000006E-2</v>
      </c>
      <c r="C52">
        <v>0.23139999999999999</v>
      </c>
      <c r="D52">
        <f t="shared" si="0"/>
        <v>0.14689999999999998</v>
      </c>
      <c r="F52" t="s">
        <v>49</v>
      </c>
      <c r="G52">
        <v>8.2799999999999999E-2</v>
      </c>
      <c r="H52">
        <v>0.22389999999999999</v>
      </c>
      <c r="I52" s="2">
        <f t="shared" si="1"/>
        <v>0.26389999999999997</v>
      </c>
      <c r="J52" s="2">
        <f t="shared" si="2"/>
        <v>0.18109999999999998</v>
      </c>
      <c r="L52">
        <f t="shared" si="3"/>
        <v>18.884594146880183</v>
      </c>
    </row>
    <row r="53" spans="1:12" x14ac:dyDescent="0.25">
      <c r="A53" t="s">
        <v>50</v>
      </c>
      <c r="B53">
        <v>7.9899999999999999E-2</v>
      </c>
      <c r="C53">
        <v>0.23139999999999999</v>
      </c>
      <c r="D53">
        <f t="shared" si="0"/>
        <v>0.1515</v>
      </c>
      <c r="F53" t="s">
        <v>50</v>
      </c>
      <c r="G53">
        <v>7.8E-2</v>
      </c>
      <c r="H53">
        <v>0.21540000000000001</v>
      </c>
      <c r="I53" s="2">
        <f t="shared" si="1"/>
        <v>0.25540000000000002</v>
      </c>
      <c r="J53" s="2">
        <f t="shared" si="2"/>
        <v>0.1774</v>
      </c>
      <c r="L53">
        <f t="shared" si="3"/>
        <v>14.599774520856823</v>
      </c>
    </row>
    <row r="54" spans="1:12" x14ac:dyDescent="0.25">
      <c r="A54" t="s">
        <v>51</v>
      </c>
      <c r="B54">
        <v>8.0600000000000005E-2</v>
      </c>
      <c r="C54">
        <v>0.19900000000000001</v>
      </c>
      <c r="D54">
        <f t="shared" si="0"/>
        <v>0.11840000000000001</v>
      </c>
      <c r="F54" t="s">
        <v>51</v>
      </c>
      <c r="G54">
        <v>7.85E-2</v>
      </c>
      <c r="H54">
        <v>0.20399999999999999</v>
      </c>
      <c r="I54" s="2">
        <f t="shared" si="1"/>
        <v>0.24399999999999999</v>
      </c>
      <c r="J54" s="2">
        <f t="shared" si="2"/>
        <v>0.16549999999999998</v>
      </c>
      <c r="L54">
        <f t="shared" si="3"/>
        <v>28.459214501510559</v>
      </c>
    </row>
    <row r="55" spans="1:12" x14ac:dyDescent="0.25">
      <c r="A55" t="s">
        <v>52</v>
      </c>
      <c r="B55">
        <v>7.9600000000000004E-2</v>
      </c>
      <c r="C55">
        <v>0.20180000000000001</v>
      </c>
      <c r="D55">
        <f t="shared" si="0"/>
        <v>0.1222</v>
      </c>
      <c r="F55" t="s">
        <v>52</v>
      </c>
      <c r="G55">
        <v>8.14E-2</v>
      </c>
      <c r="H55">
        <v>0.20580000000000001</v>
      </c>
      <c r="I55" s="2">
        <f t="shared" si="1"/>
        <v>0.24580000000000002</v>
      </c>
      <c r="J55" s="2">
        <f t="shared" si="2"/>
        <v>0.16440000000000002</v>
      </c>
      <c r="L55">
        <f t="shared" si="3"/>
        <v>25.669099756691004</v>
      </c>
    </row>
    <row r="56" spans="1:12" x14ac:dyDescent="0.25">
      <c r="A56" t="s">
        <v>53</v>
      </c>
      <c r="B56">
        <v>8.2600000000000007E-2</v>
      </c>
      <c r="C56">
        <v>0.17749999999999999</v>
      </c>
      <c r="D56">
        <f t="shared" si="0"/>
        <v>9.4899999999999984E-2</v>
      </c>
      <c r="F56" t="s">
        <v>53</v>
      </c>
      <c r="G56">
        <v>8.0199999999999994E-2</v>
      </c>
      <c r="H56">
        <v>0.2109</v>
      </c>
      <c r="I56" s="2">
        <f t="shared" si="1"/>
        <v>0.25090000000000001</v>
      </c>
      <c r="J56" s="2">
        <f t="shared" si="2"/>
        <v>0.17070000000000002</v>
      </c>
      <c r="L56">
        <f t="shared" si="3"/>
        <v>44.405389572349165</v>
      </c>
    </row>
    <row r="57" spans="1:12" x14ac:dyDescent="0.25">
      <c r="A57" t="s">
        <v>54</v>
      </c>
      <c r="B57">
        <v>8.0799999999999997E-2</v>
      </c>
      <c r="C57">
        <v>0.19289999999999999</v>
      </c>
      <c r="D57">
        <f t="shared" si="0"/>
        <v>0.11209999999999999</v>
      </c>
      <c r="F57" t="s">
        <v>54</v>
      </c>
      <c r="G57">
        <v>8.2100000000000006E-2</v>
      </c>
      <c r="H57">
        <v>0.2024</v>
      </c>
      <c r="I57" s="2">
        <f t="shared" si="1"/>
        <v>0.2424</v>
      </c>
      <c r="J57" s="2">
        <f t="shared" si="2"/>
        <v>0.1603</v>
      </c>
      <c r="L57">
        <f t="shared" si="3"/>
        <v>30.068621334996887</v>
      </c>
    </row>
    <row r="58" spans="1:12" x14ac:dyDescent="0.25">
      <c r="A58" t="s">
        <v>55</v>
      </c>
      <c r="B58">
        <v>8.14E-2</v>
      </c>
      <c r="C58">
        <v>0.20899999999999999</v>
      </c>
      <c r="D58">
        <f t="shared" si="0"/>
        <v>0.12759999999999999</v>
      </c>
      <c r="F58" t="s">
        <v>55</v>
      </c>
      <c r="G58">
        <v>8.2199999999999995E-2</v>
      </c>
      <c r="H58">
        <v>0.18779999999999999</v>
      </c>
      <c r="I58" s="2">
        <f t="shared" si="1"/>
        <v>0.2278</v>
      </c>
      <c r="J58" s="2">
        <f t="shared" si="2"/>
        <v>0.14560000000000001</v>
      </c>
      <c r="L58">
        <f t="shared" si="3"/>
        <v>12.362637362637372</v>
      </c>
    </row>
    <row r="59" spans="1:12" x14ac:dyDescent="0.25">
      <c r="A59" t="s">
        <v>56</v>
      </c>
      <c r="B59">
        <v>8.1699999999999995E-2</v>
      </c>
      <c r="C59">
        <v>0.20169999999999999</v>
      </c>
      <c r="D59">
        <f t="shared" si="0"/>
        <v>0.12</v>
      </c>
      <c r="F59" t="s">
        <v>56</v>
      </c>
      <c r="G59">
        <v>8.1299999999999997E-2</v>
      </c>
      <c r="H59">
        <v>0.1885</v>
      </c>
      <c r="I59" s="2">
        <f t="shared" si="1"/>
        <v>0.22850000000000001</v>
      </c>
      <c r="J59" s="2">
        <f t="shared" si="2"/>
        <v>0.1472</v>
      </c>
      <c r="L59">
        <f t="shared" si="3"/>
        <v>18.478260869565219</v>
      </c>
    </row>
    <row r="60" spans="1:12" x14ac:dyDescent="0.25">
      <c r="A60" t="s">
        <v>57</v>
      </c>
      <c r="B60">
        <v>8.2299999999999998E-2</v>
      </c>
      <c r="C60">
        <v>0.17469999999999999</v>
      </c>
      <c r="D60">
        <f t="shared" si="0"/>
        <v>9.2399999999999996E-2</v>
      </c>
      <c r="F60" t="s">
        <v>57</v>
      </c>
      <c r="G60">
        <v>8.2799999999999999E-2</v>
      </c>
      <c r="H60">
        <v>0.19500000000000001</v>
      </c>
      <c r="I60" s="2">
        <f t="shared" si="1"/>
        <v>0.23500000000000001</v>
      </c>
      <c r="J60" s="2">
        <f t="shared" si="2"/>
        <v>0.1522</v>
      </c>
      <c r="L60">
        <f t="shared" si="3"/>
        <v>39.290407358738506</v>
      </c>
    </row>
    <row r="61" spans="1:12" x14ac:dyDescent="0.25">
      <c r="A61" t="s">
        <v>58</v>
      </c>
      <c r="B61">
        <v>8.1199999999999994E-2</v>
      </c>
      <c r="C61">
        <v>0.1578</v>
      </c>
      <c r="D61">
        <f t="shared" si="0"/>
        <v>7.6600000000000001E-2</v>
      </c>
      <c r="F61" t="s">
        <v>58</v>
      </c>
      <c r="G61">
        <v>8.2400000000000001E-2</v>
      </c>
      <c r="H61">
        <v>0.16239999999999999</v>
      </c>
      <c r="I61" s="2">
        <f t="shared" si="1"/>
        <v>0.2024</v>
      </c>
      <c r="J61" s="2">
        <f t="shared" si="2"/>
        <v>0.12</v>
      </c>
      <c r="L61">
        <f t="shared" si="3"/>
        <v>36.166666666666664</v>
      </c>
    </row>
    <row r="62" spans="1:12" x14ac:dyDescent="0.25">
      <c r="A62" t="s">
        <v>59</v>
      </c>
      <c r="B62">
        <v>8.4599999999999995E-2</v>
      </c>
      <c r="C62">
        <v>0.2049</v>
      </c>
      <c r="D62">
        <f t="shared" si="0"/>
        <v>0.1203</v>
      </c>
      <c r="F62" t="s">
        <v>59</v>
      </c>
      <c r="G62">
        <v>8.0299999999999996E-2</v>
      </c>
      <c r="H62">
        <v>0.1835</v>
      </c>
      <c r="I62" s="2">
        <f t="shared" si="1"/>
        <v>0.2235</v>
      </c>
      <c r="J62" s="2">
        <f t="shared" si="2"/>
        <v>0.14319999999999999</v>
      </c>
      <c r="L62">
        <f t="shared" si="3"/>
        <v>15.991620111731839</v>
      </c>
    </row>
    <row r="63" spans="1:12" x14ac:dyDescent="0.25">
      <c r="A63" t="s">
        <v>60</v>
      </c>
      <c r="B63">
        <v>8.3099999999999993E-2</v>
      </c>
      <c r="C63">
        <v>0.17760000000000001</v>
      </c>
      <c r="D63">
        <f t="shared" si="0"/>
        <v>9.4500000000000015E-2</v>
      </c>
      <c r="F63" t="s">
        <v>60</v>
      </c>
      <c r="G63">
        <v>8.1500000000000003E-2</v>
      </c>
      <c r="H63">
        <v>0.182</v>
      </c>
      <c r="I63" s="2">
        <f t="shared" si="1"/>
        <v>0.222</v>
      </c>
      <c r="J63" s="2">
        <f t="shared" si="2"/>
        <v>0.14050000000000001</v>
      </c>
      <c r="L63">
        <f t="shared" si="3"/>
        <v>32.740213523131665</v>
      </c>
    </row>
    <row r="64" spans="1:12" x14ac:dyDescent="0.25">
      <c r="A64" t="s">
        <v>61</v>
      </c>
      <c r="B64">
        <v>8.2000000000000003E-2</v>
      </c>
      <c r="C64">
        <v>0.14910000000000001</v>
      </c>
      <c r="D64">
        <f t="shared" si="0"/>
        <v>6.7100000000000007E-2</v>
      </c>
      <c r="F64" t="s">
        <v>61</v>
      </c>
      <c r="G64">
        <v>7.9899999999999999E-2</v>
      </c>
      <c r="H64">
        <v>0.1643</v>
      </c>
      <c r="I64" s="2">
        <f t="shared" si="1"/>
        <v>0.20430000000000001</v>
      </c>
      <c r="J64" s="2">
        <f t="shared" si="2"/>
        <v>0.12440000000000001</v>
      </c>
      <c r="L64">
        <f t="shared" si="3"/>
        <v>46.061093247588424</v>
      </c>
    </row>
    <row r="65" spans="1:12" x14ac:dyDescent="0.25">
      <c r="A65" t="s">
        <v>62</v>
      </c>
      <c r="B65">
        <v>8.1799999999999998E-2</v>
      </c>
      <c r="C65">
        <v>0.218</v>
      </c>
      <c r="D65">
        <f t="shared" si="0"/>
        <v>0.13619999999999999</v>
      </c>
      <c r="F65" t="s">
        <v>62</v>
      </c>
      <c r="G65">
        <v>8.0699999999999994E-2</v>
      </c>
      <c r="H65">
        <v>0.19939999999999999</v>
      </c>
      <c r="I65" s="2">
        <f t="shared" si="1"/>
        <v>0.2394</v>
      </c>
      <c r="J65" s="2">
        <f t="shared" si="2"/>
        <v>0.15870000000000001</v>
      </c>
      <c r="L65">
        <f t="shared" si="3"/>
        <v>14.177693761814758</v>
      </c>
    </row>
    <row r="66" spans="1:12" x14ac:dyDescent="0.25">
      <c r="A66" t="s">
        <v>63</v>
      </c>
      <c r="B66">
        <v>8.2900000000000001E-2</v>
      </c>
      <c r="C66">
        <v>0.23150000000000001</v>
      </c>
      <c r="D66">
        <f t="shared" si="0"/>
        <v>0.14860000000000001</v>
      </c>
      <c r="F66" t="s">
        <v>63</v>
      </c>
      <c r="G66">
        <v>8.1600000000000006E-2</v>
      </c>
      <c r="H66">
        <v>0.20549999999999999</v>
      </c>
      <c r="I66" s="2">
        <f t="shared" si="1"/>
        <v>0.2455</v>
      </c>
      <c r="J66" s="2">
        <f t="shared" si="2"/>
        <v>0.16389999999999999</v>
      </c>
      <c r="L66">
        <f t="shared" si="3"/>
        <v>9.3349603416717404</v>
      </c>
    </row>
    <row r="67" spans="1:12" x14ac:dyDescent="0.25">
      <c r="A67" t="s">
        <v>64</v>
      </c>
      <c r="B67">
        <v>8.3099999999999993E-2</v>
      </c>
      <c r="C67">
        <v>0.22750000000000001</v>
      </c>
      <c r="D67">
        <f t="shared" si="0"/>
        <v>0.14440000000000003</v>
      </c>
      <c r="F67" t="s">
        <v>64</v>
      </c>
      <c r="G67">
        <v>8.3299999999999999E-2</v>
      </c>
      <c r="H67">
        <v>0.2094</v>
      </c>
      <c r="I67" s="2">
        <f t="shared" si="1"/>
        <v>0.24940000000000001</v>
      </c>
      <c r="J67" s="2">
        <f t="shared" si="2"/>
        <v>0.16610000000000003</v>
      </c>
      <c r="L67">
        <f t="shared" si="3"/>
        <v>13.064419024683922</v>
      </c>
    </row>
    <row r="68" spans="1:12" x14ac:dyDescent="0.25">
      <c r="A68" t="s">
        <v>65</v>
      </c>
      <c r="B68">
        <v>7.6899999999999996E-2</v>
      </c>
      <c r="C68">
        <v>0.21510000000000001</v>
      </c>
      <c r="D68">
        <f t="shared" ref="D68:D98" si="4">C68-B68</f>
        <v>0.13820000000000002</v>
      </c>
      <c r="F68" t="s">
        <v>65</v>
      </c>
      <c r="G68">
        <v>8.1799999999999998E-2</v>
      </c>
      <c r="H68">
        <v>0.21290000000000001</v>
      </c>
      <c r="I68" s="2">
        <f t="shared" ref="I68:I98" si="5">H68+0.04</f>
        <v>0.25290000000000001</v>
      </c>
      <c r="J68" s="2">
        <f t="shared" ref="J68:J98" si="6">(I68-G68)</f>
        <v>0.17110000000000003</v>
      </c>
      <c r="L68">
        <f t="shared" ref="L68:L98" si="7">((J68-D68)/J68)*100</f>
        <v>19.228521332554067</v>
      </c>
    </row>
    <row r="69" spans="1:12" x14ac:dyDescent="0.25">
      <c r="A69" t="s">
        <v>66</v>
      </c>
      <c r="B69">
        <v>8.0100000000000005E-2</v>
      </c>
      <c r="C69">
        <v>0.1419</v>
      </c>
      <c r="D69">
        <f t="shared" si="4"/>
        <v>6.1799999999999994E-2</v>
      </c>
      <c r="F69" t="s">
        <v>66</v>
      </c>
      <c r="G69">
        <v>7.8E-2</v>
      </c>
      <c r="H69">
        <v>0.19919999999999999</v>
      </c>
      <c r="I69" s="2">
        <f t="shared" si="5"/>
        <v>0.2392</v>
      </c>
      <c r="J69" s="2">
        <f t="shared" si="6"/>
        <v>0.16120000000000001</v>
      </c>
      <c r="L69">
        <f t="shared" si="7"/>
        <v>61.662531017369737</v>
      </c>
    </row>
    <row r="70" spans="1:12" x14ac:dyDescent="0.25">
      <c r="A70" t="s">
        <v>67</v>
      </c>
      <c r="B70">
        <v>8.2900000000000001E-2</v>
      </c>
      <c r="C70">
        <v>0.1401</v>
      </c>
      <c r="D70">
        <f t="shared" si="4"/>
        <v>5.7200000000000001E-2</v>
      </c>
      <c r="F70" t="s">
        <v>67</v>
      </c>
      <c r="G70">
        <v>8.3699999999999997E-2</v>
      </c>
      <c r="H70">
        <v>0.18890000000000001</v>
      </c>
      <c r="I70" s="2">
        <f t="shared" si="5"/>
        <v>0.22890000000000002</v>
      </c>
      <c r="J70" s="2">
        <f t="shared" si="6"/>
        <v>0.14520000000000002</v>
      </c>
      <c r="L70">
        <f t="shared" si="7"/>
        <v>60.606060606060609</v>
      </c>
    </row>
    <row r="71" spans="1:12" x14ac:dyDescent="0.25">
      <c r="A71" t="s">
        <v>68</v>
      </c>
      <c r="B71">
        <v>8.6599999999999996E-2</v>
      </c>
      <c r="C71">
        <v>0.19220000000000001</v>
      </c>
      <c r="D71">
        <f t="shared" si="4"/>
        <v>0.10560000000000001</v>
      </c>
      <c r="F71" t="s">
        <v>68</v>
      </c>
      <c r="G71">
        <v>8.1100000000000005E-2</v>
      </c>
      <c r="H71">
        <v>0.1787</v>
      </c>
      <c r="I71" s="2">
        <f t="shared" si="5"/>
        <v>0.21870000000000001</v>
      </c>
      <c r="J71" s="2">
        <f t="shared" si="6"/>
        <v>0.1376</v>
      </c>
      <c r="L71">
        <f t="shared" si="7"/>
        <v>23.255813953488364</v>
      </c>
    </row>
    <row r="72" spans="1:12" x14ac:dyDescent="0.25">
      <c r="A72" t="s">
        <v>69</v>
      </c>
      <c r="B72">
        <v>8.1699999999999995E-2</v>
      </c>
      <c r="C72">
        <v>0.2036</v>
      </c>
      <c r="D72">
        <f t="shared" si="4"/>
        <v>0.12190000000000001</v>
      </c>
      <c r="F72" t="s">
        <v>69</v>
      </c>
      <c r="G72">
        <v>8.9099999999999999E-2</v>
      </c>
      <c r="H72">
        <v>0.18579999999999999</v>
      </c>
      <c r="I72" s="2">
        <f t="shared" si="5"/>
        <v>0.2258</v>
      </c>
      <c r="J72" s="2">
        <f t="shared" si="6"/>
        <v>0.13669999999999999</v>
      </c>
      <c r="L72">
        <f t="shared" si="7"/>
        <v>10.826627651792233</v>
      </c>
    </row>
    <row r="73" spans="1:12" x14ac:dyDescent="0.25">
      <c r="A73" t="s">
        <v>70</v>
      </c>
      <c r="B73">
        <v>8.2699999999999996E-2</v>
      </c>
      <c r="C73">
        <v>0.19339999999999999</v>
      </c>
      <c r="D73">
        <f t="shared" si="4"/>
        <v>0.11069999999999999</v>
      </c>
      <c r="F73" t="s">
        <v>70</v>
      </c>
      <c r="G73">
        <v>7.9699999999999993E-2</v>
      </c>
      <c r="H73">
        <v>0.19850000000000001</v>
      </c>
      <c r="I73" s="2">
        <f t="shared" si="5"/>
        <v>0.23850000000000002</v>
      </c>
      <c r="J73" s="2">
        <f t="shared" si="6"/>
        <v>0.15880000000000002</v>
      </c>
      <c r="L73">
        <f t="shared" si="7"/>
        <v>30.28967254408062</v>
      </c>
    </row>
    <row r="74" spans="1:12" x14ac:dyDescent="0.25">
      <c r="A74" t="s">
        <v>71</v>
      </c>
      <c r="B74">
        <v>8.2400000000000001E-2</v>
      </c>
      <c r="C74">
        <v>0.21560000000000001</v>
      </c>
      <c r="D74">
        <f t="shared" si="4"/>
        <v>0.13320000000000001</v>
      </c>
      <c r="F74" t="s">
        <v>71</v>
      </c>
      <c r="G74">
        <v>7.8299999999999995E-2</v>
      </c>
      <c r="H74">
        <v>0.19639999999999999</v>
      </c>
      <c r="I74" s="2">
        <f t="shared" si="5"/>
        <v>0.2364</v>
      </c>
      <c r="J74" s="2">
        <f t="shared" si="6"/>
        <v>0.15810000000000002</v>
      </c>
      <c r="L74">
        <f t="shared" si="7"/>
        <v>15.749525616698293</v>
      </c>
    </row>
    <row r="75" spans="1:12" x14ac:dyDescent="0.25">
      <c r="A75" t="s">
        <v>72</v>
      </c>
      <c r="B75">
        <v>8.1000000000000003E-2</v>
      </c>
      <c r="C75">
        <v>0.1706</v>
      </c>
      <c r="D75">
        <f t="shared" si="4"/>
        <v>8.9599999999999999E-2</v>
      </c>
      <c r="F75" t="s">
        <v>72</v>
      </c>
      <c r="G75">
        <v>8.2799999999999999E-2</v>
      </c>
      <c r="H75">
        <v>0.2109</v>
      </c>
      <c r="I75" s="2">
        <f t="shared" si="5"/>
        <v>0.25090000000000001</v>
      </c>
      <c r="J75" s="2">
        <f t="shared" si="6"/>
        <v>0.16810000000000003</v>
      </c>
      <c r="L75">
        <f t="shared" si="7"/>
        <v>46.698393813206437</v>
      </c>
    </row>
    <row r="76" spans="1:12" x14ac:dyDescent="0.25">
      <c r="A76" t="s">
        <v>73</v>
      </c>
      <c r="B76">
        <v>8.0399999999999999E-2</v>
      </c>
      <c r="C76">
        <v>0.1845</v>
      </c>
      <c r="D76">
        <f t="shared" si="4"/>
        <v>0.1041</v>
      </c>
      <c r="F76" t="s">
        <v>73</v>
      </c>
      <c r="G76">
        <v>7.9100000000000004E-2</v>
      </c>
      <c r="H76">
        <v>0.20499999999999999</v>
      </c>
      <c r="I76" s="2">
        <f t="shared" si="5"/>
        <v>0.245</v>
      </c>
      <c r="J76" s="2">
        <f t="shared" si="6"/>
        <v>0.16589999999999999</v>
      </c>
      <c r="L76">
        <f t="shared" si="7"/>
        <v>37.251356238698008</v>
      </c>
    </row>
    <row r="77" spans="1:12" x14ac:dyDescent="0.25">
      <c r="A77" t="s">
        <v>74</v>
      </c>
      <c r="B77">
        <v>8.2900000000000001E-2</v>
      </c>
      <c r="C77">
        <v>0.1845</v>
      </c>
      <c r="D77">
        <f t="shared" si="4"/>
        <v>0.1016</v>
      </c>
      <c r="F77" t="s">
        <v>74</v>
      </c>
      <c r="G77">
        <v>8.2600000000000007E-2</v>
      </c>
      <c r="H77">
        <v>0.2074</v>
      </c>
      <c r="I77" s="2">
        <f t="shared" si="5"/>
        <v>0.24740000000000001</v>
      </c>
      <c r="J77" s="2">
        <f t="shared" si="6"/>
        <v>0.1648</v>
      </c>
      <c r="L77">
        <f t="shared" si="7"/>
        <v>38.349514563106801</v>
      </c>
    </row>
    <row r="78" spans="1:12" x14ac:dyDescent="0.25">
      <c r="A78" t="s">
        <v>75</v>
      </c>
      <c r="B78">
        <v>8.1799999999999998E-2</v>
      </c>
      <c r="C78">
        <v>0.1419</v>
      </c>
      <c r="D78">
        <f t="shared" si="4"/>
        <v>6.0100000000000001E-2</v>
      </c>
      <c r="F78" t="s">
        <v>75</v>
      </c>
      <c r="G78">
        <v>8.2199999999999995E-2</v>
      </c>
      <c r="H78">
        <v>0.18959999999999999</v>
      </c>
      <c r="I78" s="2">
        <f t="shared" si="5"/>
        <v>0.2296</v>
      </c>
      <c r="J78" s="2">
        <f t="shared" si="6"/>
        <v>0.1474</v>
      </c>
      <c r="L78">
        <f t="shared" si="7"/>
        <v>59.226594301221169</v>
      </c>
    </row>
    <row r="79" spans="1:12" x14ac:dyDescent="0.25">
      <c r="A79" t="s">
        <v>76</v>
      </c>
      <c r="B79">
        <v>8.2199999999999995E-2</v>
      </c>
      <c r="C79">
        <v>0.22339999999999999</v>
      </c>
      <c r="D79">
        <f t="shared" si="4"/>
        <v>0.14119999999999999</v>
      </c>
      <c r="F79" t="s">
        <v>76</v>
      </c>
      <c r="G79">
        <v>8.2100000000000006E-2</v>
      </c>
      <c r="H79">
        <v>0.21049999999999999</v>
      </c>
      <c r="I79" s="2">
        <f t="shared" si="5"/>
        <v>0.2505</v>
      </c>
      <c r="J79" s="2">
        <f t="shared" si="6"/>
        <v>0.16839999999999999</v>
      </c>
      <c r="L79">
        <f t="shared" si="7"/>
        <v>16.152019002375297</v>
      </c>
    </row>
    <row r="80" spans="1:12" x14ac:dyDescent="0.25">
      <c r="A80" t="s">
        <v>77</v>
      </c>
      <c r="B80">
        <v>8.1900000000000001E-2</v>
      </c>
      <c r="C80">
        <v>0.19450000000000001</v>
      </c>
      <c r="D80">
        <f t="shared" si="4"/>
        <v>0.11260000000000001</v>
      </c>
      <c r="F80" t="s">
        <v>77</v>
      </c>
      <c r="G80">
        <v>8.2400000000000001E-2</v>
      </c>
      <c r="H80">
        <v>0.18160000000000001</v>
      </c>
      <c r="I80" s="2">
        <f t="shared" si="5"/>
        <v>0.22160000000000002</v>
      </c>
      <c r="J80" s="2">
        <f t="shared" si="6"/>
        <v>0.13920000000000002</v>
      </c>
      <c r="L80">
        <f t="shared" si="7"/>
        <v>19.109195402298855</v>
      </c>
    </row>
    <row r="81" spans="1:12" x14ac:dyDescent="0.25">
      <c r="A81" t="s">
        <v>78</v>
      </c>
      <c r="B81">
        <v>7.9699999999999993E-2</v>
      </c>
      <c r="C81">
        <v>0.17219999999999999</v>
      </c>
      <c r="D81">
        <f t="shared" si="4"/>
        <v>9.2499999999999999E-2</v>
      </c>
      <c r="F81" t="s">
        <v>78</v>
      </c>
      <c r="G81">
        <v>8.14E-2</v>
      </c>
      <c r="H81">
        <v>0.1847</v>
      </c>
      <c r="I81" s="2">
        <f t="shared" si="5"/>
        <v>0.22470000000000001</v>
      </c>
      <c r="J81" s="2">
        <f t="shared" si="6"/>
        <v>0.14330000000000001</v>
      </c>
      <c r="L81">
        <f t="shared" si="7"/>
        <v>35.450104675505941</v>
      </c>
    </row>
    <row r="82" spans="1:12" x14ac:dyDescent="0.25">
      <c r="A82" t="s">
        <v>79</v>
      </c>
      <c r="B82">
        <v>8.2000000000000003E-2</v>
      </c>
      <c r="C82">
        <v>0.18310000000000001</v>
      </c>
      <c r="D82">
        <f t="shared" si="4"/>
        <v>0.10110000000000001</v>
      </c>
      <c r="F82" t="s">
        <v>79</v>
      </c>
      <c r="G82">
        <v>8.1600000000000006E-2</v>
      </c>
      <c r="H82">
        <v>0.20180000000000001</v>
      </c>
      <c r="I82" s="2">
        <f t="shared" si="5"/>
        <v>0.24180000000000001</v>
      </c>
      <c r="J82" s="2">
        <f t="shared" si="6"/>
        <v>0.16020000000000001</v>
      </c>
      <c r="L82">
        <f t="shared" si="7"/>
        <v>36.891385767790261</v>
      </c>
    </row>
    <row r="83" spans="1:12" x14ac:dyDescent="0.25">
      <c r="A83" t="s">
        <v>80</v>
      </c>
      <c r="B83">
        <v>8.0799999999999997E-2</v>
      </c>
      <c r="C83">
        <v>0.18190000000000001</v>
      </c>
      <c r="D83">
        <f t="shared" si="4"/>
        <v>0.10110000000000001</v>
      </c>
      <c r="F83" t="s">
        <v>80</v>
      </c>
      <c r="G83">
        <v>8.3400000000000002E-2</v>
      </c>
      <c r="H83">
        <v>0.19470000000000001</v>
      </c>
      <c r="I83" s="2">
        <f t="shared" si="5"/>
        <v>0.23470000000000002</v>
      </c>
      <c r="J83" s="2">
        <f t="shared" si="6"/>
        <v>0.15130000000000002</v>
      </c>
      <c r="L83">
        <f t="shared" si="7"/>
        <v>33.179114342366162</v>
      </c>
    </row>
    <row r="84" spans="1:12" x14ac:dyDescent="0.25">
      <c r="A84" t="s">
        <v>81</v>
      </c>
      <c r="B84">
        <v>8.1199999999999994E-2</v>
      </c>
      <c r="C84">
        <v>0.1172</v>
      </c>
      <c r="D84">
        <f t="shared" si="4"/>
        <v>3.6000000000000004E-2</v>
      </c>
      <c r="F84" t="s">
        <v>81</v>
      </c>
      <c r="G84">
        <v>7.7600000000000002E-2</v>
      </c>
      <c r="H84">
        <v>0.15260000000000001</v>
      </c>
      <c r="I84" s="2">
        <f t="shared" si="5"/>
        <v>0.19260000000000002</v>
      </c>
      <c r="J84" s="2">
        <f t="shared" si="6"/>
        <v>0.11500000000000002</v>
      </c>
      <c r="L84">
        <f t="shared" si="7"/>
        <v>68.695652173913047</v>
      </c>
    </row>
    <row r="85" spans="1:12" x14ac:dyDescent="0.25">
      <c r="A85" t="s">
        <v>82</v>
      </c>
      <c r="B85">
        <v>8.0199999999999994E-2</v>
      </c>
      <c r="C85">
        <v>0.20069999999999999</v>
      </c>
      <c r="D85">
        <f t="shared" si="4"/>
        <v>0.1205</v>
      </c>
      <c r="F85" t="s">
        <v>82</v>
      </c>
      <c r="G85">
        <v>7.9200000000000007E-2</v>
      </c>
      <c r="H85">
        <v>0.1956</v>
      </c>
      <c r="I85" s="2">
        <f t="shared" si="5"/>
        <v>0.2356</v>
      </c>
      <c r="J85" s="2">
        <f t="shared" si="6"/>
        <v>0.15639999999999998</v>
      </c>
      <c r="L85">
        <f t="shared" si="7"/>
        <v>22.953964194373398</v>
      </c>
    </row>
    <row r="86" spans="1:12" x14ac:dyDescent="0.25">
      <c r="A86" t="s">
        <v>83</v>
      </c>
      <c r="B86">
        <v>8.4000000000000005E-2</v>
      </c>
      <c r="C86">
        <v>0.20169999999999999</v>
      </c>
      <c r="D86">
        <f t="shared" si="4"/>
        <v>0.11769999999999999</v>
      </c>
      <c r="F86" t="s">
        <v>83</v>
      </c>
      <c r="G86">
        <v>0.08</v>
      </c>
      <c r="H86">
        <v>0.19570000000000001</v>
      </c>
      <c r="I86" s="2">
        <f t="shared" si="5"/>
        <v>0.23570000000000002</v>
      </c>
      <c r="J86" s="2">
        <f t="shared" si="6"/>
        <v>0.15570000000000001</v>
      </c>
      <c r="L86">
        <f t="shared" si="7"/>
        <v>24.405908798972394</v>
      </c>
    </row>
    <row r="87" spans="1:12" x14ac:dyDescent="0.25">
      <c r="A87" t="s">
        <v>84</v>
      </c>
      <c r="B87">
        <v>8.5400000000000004E-2</v>
      </c>
      <c r="C87">
        <v>0.16439999999999999</v>
      </c>
      <c r="D87">
        <f t="shared" si="4"/>
        <v>7.8999999999999987E-2</v>
      </c>
      <c r="F87" t="s">
        <v>84</v>
      </c>
      <c r="G87">
        <v>8.14E-2</v>
      </c>
      <c r="H87">
        <v>0.1928</v>
      </c>
      <c r="I87" s="2">
        <f t="shared" si="5"/>
        <v>0.23280000000000001</v>
      </c>
      <c r="J87" s="2">
        <f t="shared" si="6"/>
        <v>0.15140000000000001</v>
      </c>
      <c r="L87">
        <f t="shared" si="7"/>
        <v>47.820343461030397</v>
      </c>
    </row>
    <row r="88" spans="1:12" x14ac:dyDescent="0.25">
      <c r="A88" t="s">
        <v>85</v>
      </c>
      <c r="B88">
        <v>8.4000000000000005E-2</v>
      </c>
      <c r="C88">
        <v>0.13109999999999999</v>
      </c>
      <c r="D88">
        <f t="shared" si="4"/>
        <v>4.7099999999999989E-2</v>
      </c>
      <c r="F88" t="s">
        <v>85</v>
      </c>
      <c r="G88">
        <v>8.0100000000000005E-2</v>
      </c>
      <c r="H88">
        <v>0.13220000000000001</v>
      </c>
      <c r="I88" s="2">
        <f t="shared" si="5"/>
        <v>0.17220000000000002</v>
      </c>
      <c r="J88" s="2">
        <f t="shared" si="6"/>
        <v>9.2100000000000015E-2</v>
      </c>
      <c r="L88">
        <f t="shared" si="7"/>
        <v>48.859934853420214</v>
      </c>
    </row>
    <row r="89" spans="1:12" x14ac:dyDescent="0.25">
      <c r="A89" t="s">
        <v>86</v>
      </c>
      <c r="B89">
        <v>8.1299999999999997E-2</v>
      </c>
      <c r="C89">
        <v>0.15090000000000001</v>
      </c>
      <c r="D89">
        <f t="shared" si="4"/>
        <v>6.9600000000000009E-2</v>
      </c>
      <c r="F89" t="s">
        <v>86</v>
      </c>
      <c r="G89">
        <v>0.08</v>
      </c>
      <c r="H89">
        <v>0.1515</v>
      </c>
      <c r="I89" s="2">
        <f t="shared" si="5"/>
        <v>0.1915</v>
      </c>
      <c r="J89" s="2">
        <f t="shared" si="6"/>
        <v>0.1115</v>
      </c>
      <c r="L89">
        <f t="shared" si="7"/>
        <v>37.578475336322867</v>
      </c>
    </row>
    <row r="90" spans="1:12" x14ac:dyDescent="0.25">
      <c r="A90" t="s">
        <v>87</v>
      </c>
      <c r="B90">
        <v>8.1699999999999995E-2</v>
      </c>
      <c r="C90">
        <v>0.1749</v>
      </c>
      <c r="D90">
        <f t="shared" si="4"/>
        <v>9.3200000000000005E-2</v>
      </c>
      <c r="F90" t="s">
        <v>87</v>
      </c>
      <c r="G90">
        <v>7.9600000000000004E-2</v>
      </c>
      <c r="H90">
        <v>0.2009</v>
      </c>
      <c r="I90" s="2">
        <f t="shared" si="5"/>
        <v>0.2409</v>
      </c>
      <c r="J90" s="2">
        <f t="shared" si="6"/>
        <v>0.1613</v>
      </c>
      <c r="L90">
        <f t="shared" si="7"/>
        <v>42.219466831990076</v>
      </c>
    </row>
    <row r="91" spans="1:12" x14ac:dyDescent="0.25">
      <c r="A91" t="s">
        <v>88</v>
      </c>
      <c r="B91">
        <v>8.1000000000000003E-2</v>
      </c>
      <c r="C91">
        <v>8.43E-2</v>
      </c>
      <c r="D91">
        <f t="shared" si="4"/>
        <v>3.2999999999999974E-3</v>
      </c>
      <c r="F91" t="s">
        <v>88</v>
      </c>
      <c r="G91">
        <v>8.0500000000000002E-2</v>
      </c>
      <c r="H91">
        <v>8.5199999999999998E-2</v>
      </c>
      <c r="I91" s="2">
        <f t="shared" si="5"/>
        <v>0.12520000000000001</v>
      </c>
      <c r="J91" s="2">
        <f t="shared" si="6"/>
        <v>4.4700000000000004E-2</v>
      </c>
      <c r="L91">
        <f t="shared" si="7"/>
        <v>92.617449664429543</v>
      </c>
    </row>
    <row r="92" spans="1:12" x14ac:dyDescent="0.25">
      <c r="A92" t="s">
        <v>89</v>
      </c>
      <c r="B92">
        <v>8.1199999999999994E-2</v>
      </c>
      <c r="C92">
        <v>8.4400000000000003E-2</v>
      </c>
      <c r="D92">
        <f t="shared" si="4"/>
        <v>3.2000000000000084E-3</v>
      </c>
      <c r="F92" t="s">
        <v>89</v>
      </c>
      <c r="G92">
        <v>7.9899999999999999E-2</v>
      </c>
      <c r="H92">
        <v>8.48E-2</v>
      </c>
      <c r="I92" s="2">
        <f t="shared" si="5"/>
        <v>0.12479999999999999</v>
      </c>
      <c r="J92" s="2">
        <f t="shared" si="6"/>
        <v>4.4899999999999995E-2</v>
      </c>
      <c r="L92">
        <f t="shared" si="7"/>
        <v>92.873051224944305</v>
      </c>
    </row>
    <row r="93" spans="1:12" x14ac:dyDescent="0.25">
      <c r="A93" t="s">
        <v>90</v>
      </c>
      <c r="B93">
        <v>7.9799999999999996E-2</v>
      </c>
      <c r="C93">
        <v>8.0799999999999997E-2</v>
      </c>
      <c r="D93">
        <f t="shared" si="4"/>
        <v>1.0000000000000009E-3</v>
      </c>
      <c r="F93" t="s">
        <v>90</v>
      </c>
      <c r="G93">
        <v>8.1500000000000003E-2</v>
      </c>
      <c r="H93">
        <v>8.2199999999999995E-2</v>
      </c>
      <c r="I93" s="2">
        <f t="shared" si="5"/>
        <v>0.1222</v>
      </c>
      <c r="J93" s="2">
        <f t="shared" si="6"/>
        <v>4.07E-2</v>
      </c>
      <c r="L93">
        <f t="shared" si="7"/>
        <v>97.54299754299754</v>
      </c>
    </row>
    <row r="94" spans="1:12" x14ac:dyDescent="0.25">
      <c r="A94" t="s">
        <v>91</v>
      </c>
      <c r="B94">
        <v>8.14E-2</v>
      </c>
      <c r="C94">
        <v>8.3000000000000004E-2</v>
      </c>
      <c r="D94">
        <f t="shared" si="4"/>
        <v>1.6000000000000042E-3</v>
      </c>
      <c r="F94" t="s">
        <v>91</v>
      </c>
      <c r="G94">
        <v>8.14E-2</v>
      </c>
      <c r="H94">
        <v>8.3199999999999996E-2</v>
      </c>
      <c r="I94" s="2">
        <f t="shared" si="5"/>
        <v>0.1232</v>
      </c>
      <c r="J94" s="2">
        <f t="shared" si="6"/>
        <v>4.1800000000000004E-2</v>
      </c>
      <c r="L94">
        <f t="shared" si="7"/>
        <v>96.172248803827742</v>
      </c>
    </row>
    <row r="95" spans="1:12" x14ac:dyDescent="0.25">
      <c r="A95" t="s">
        <v>92</v>
      </c>
      <c r="B95">
        <v>8.2900000000000001E-2</v>
      </c>
      <c r="C95">
        <v>8.2799999999999999E-2</v>
      </c>
      <c r="D95">
        <f t="shared" si="4"/>
        <v>-1.0000000000000286E-4</v>
      </c>
      <c r="F95" t="s">
        <v>92</v>
      </c>
      <c r="G95">
        <v>8.0299999999999996E-2</v>
      </c>
      <c r="H95">
        <v>8.5900000000000004E-2</v>
      </c>
      <c r="I95" s="2">
        <f t="shared" si="5"/>
        <v>0.12590000000000001</v>
      </c>
      <c r="J95" s="2">
        <f t="shared" si="6"/>
        <v>4.5600000000000016E-2</v>
      </c>
      <c r="L95">
        <f t="shared" si="7"/>
        <v>100.21929824561404</v>
      </c>
    </row>
    <row r="96" spans="1:12" x14ac:dyDescent="0.25">
      <c r="A96" t="s">
        <v>93</v>
      </c>
      <c r="B96">
        <v>8.0299999999999996E-2</v>
      </c>
      <c r="C96">
        <v>8.2699999999999996E-2</v>
      </c>
      <c r="D96">
        <f t="shared" si="4"/>
        <v>2.3999999999999994E-3</v>
      </c>
      <c r="F96" t="s">
        <v>93</v>
      </c>
      <c r="G96">
        <v>7.9399999999999998E-2</v>
      </c>
      <c r="H96">
        <v>8.3199999999999996E-2</v>
      </c>
      <c r="I96" s="2">
        <f t="shared" si="5"/>
        <v>0.1232</v>
      </c>
      <c r="J96" s="2">
        <f t="shared" si="6"/>
        <v>4.3800000000000006E-2</v>
      </c>
      <c r="L96">
        <f t="shared" si="7"/>
        <v>94.520547945205479</v>
      </c>
    </row>
    <row r="97" spans="1:12" x14ac:dyDescent="0.25">
      <c r="A97" t="s">
        <v>94</v>
      </c>
      <c r="B97">
        <v>8.2600000000000007E-2</v>
      </c>
      <c r="C97">
        <v>8.4099999999999994E-2</v>
      </c>
      <c r="D97">
        <f t="shared" si="4"/>
        <v>1.4999999999999875E-3</v>
      </c>
      <c r="F97" t="s">
        <v>94</v>
      </c>
      <c r="G97">
        <v>8.3900000000000002E-2</v>
      </c>
      <c r="H97">
        <v>0.1196</v>
      </c>
      <c r="I97" s="2">
        <f t="shared" si="5"/>
        <v>0.15959999999999999</v>
      </c>
      <c r="J97" s="2">
        <f t="shared" si="6"/>
        <v>7.569999999999999E-2</v>
      </c>
      <c r="L97">
        <f t="shared" si="7"/>
        <v>98.018494055482179</v>
      </c>
    </row>
    <row r="98" spans="1:12" x14ac:dyDescent="0.25">
      <c r="A98" t="s">
        <v>95</v>
      </c>
      <c r="B98">
        <v>8.4699999999999998E-2</v>
      </c>
      <c r="C98">
        <v>0.1183</v>
      </c>
      <c r="D98">
        <f t="shared" si="4"/>
        <v>3.3600000000000005E-2</v>
      </c>
      <c r="F98" t="s">
        <v>95</v>
      </c>
      <c r="G98">
        <v>8.0799999999999997E-2</v>
      </c>
      <c r="H98">
        <v>0.18870000000000001</v>
      </c>
      <c r="I98" s="2">
        <f t="shared" si="5"/>
        <v>0.22870000000000001</v>
      </c>
      <c r="J98" s="2">
        <f t="shared" si="6"/>
        <v>0.14790000000000003</v>
      </c>
      <c r="L98">
        <f t="shared" si="7"/>
        <v>77.281947261663291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97"/>
  <sheetViews>
    <sheetView workbookViewId="0">
      <selection activeCell="J2" sqref="J2:J97"/>
    </sheetView>
  </sheetViews>
  <sheetFormatPr defaultRowHeight="15" x14ac:dyDescent="0.25"/>
  <cols>
    <col min="9" max="9" width="9.140625" style="2"/>
  </cols>
  <sheetData>
    <row r="1" spans="1:13" x14ac:dyDescent="0.25">
      <c r="A1" t="s">
        <v>99</v>
      </c>
      <c r="B1" t="s">
        <v>96</v>
      </c>
      <c r="C1" t="s">
        <v>97</v>
      </c>
      <c r="D1" t="s">
        <v>101</v>
      </c>
      <c r="F1" t="s">
        <v>100</v>
      </c>
      <c r="G1" t="s">
        <v>96</v>
      </c>
      <c r="H1" t="s">
        <v>97</v>
      </c>
      <c r="I1" s="2" t="s">
        <v>375</v>
      </c>
      <c r="J1" t="s">
        <v>101</v>
      </c>
      <c r="M1" t="s">
        <v>102</v>
      </c>
    </row>
    <row r="2" spans="1:13" x14ac:dyDescent="0.25">
      <c r="A2" t="s">
        <v>0</v>
      </c>
      <c r="B2">
        <v>8.0600000000000005E-2</v>
      </c>
      <c r="C2">
        <v>0.2218</v>
      </c>
      <c r="D2">
        <f>(C2-B2)</f>
        <v>0.14119999999999999</v>
      </c>
      <c r="G2">
        <v>7.7100000000000002E-2</v>
      </c>
      <c r="H2">
        <v>0.19900000000000001</v>
      </c>
      <c r="I2" s="2">
        <f>H2+0.04</f>
        <v>0.23900000000000002</v>
      </c>
      <c r="J2">
        <f>(I2-G2)</f>
        <v>0.16190000000000002</v>
      </c>
      <c r="M2">
        <f t="shared" ref="M2:M33" si="0">((J2-D2)/J2)*100</f>
        <v>12.785670166769625</v>
      </c>
    </row>
    <row r="3" spans="1:13" x14ac:dyDescent="0.25">
      <c r="A3" t="s">
        <v>1</v>
      </c>
      <c r="B3">
        <v>8.1900000000000001E-2</v>
      </c>
      <c r="C3">
        <v>0.25219999999999998</v>
      </c>
      <c r="D3">
        <f t="shared" ref="D3:D66" si="1">(C3-B3)</f>
        <v>0.17029999999999998</v>
      </c>
      <c r="G3">
        <v>7.7899999999999997E-2</v>
      </c>
      <c r="H3">
        <v>0.22009999999999999</v>
      </c>
      <c r="I3" s="2">
        <f t="shared" ref="I3:I66" si="2">H3+0.04</f>
        <v>0.2601</v>
      </c>
      <c r="J3" s="2">
        <f t="shared" ref="J3:J66" si="3">(I3-G3)</f>
        <v>0.1822</v>
      </c>
      <c r="M3">
        <f t="shared" si="0"/>
        <v>6.5312843029637886</v>
      </c>
    </row>
    <row r="4" spans="1:13" x14ac:dyDescent="0.25">
      <c r="A4" t="s">
        <v>2</v>
      </c>
      <c r="B4">
        <v>8.2400000000000001E-2</v>
      </c>
      <c r="C4">
        <v>0.25019999999999998</v>
      </c>
      <c r="D4">
        <f t="shared" si="1"/>
        <v>0.16779999999999998</v>
      </c>
      <c r="G4">
        <v>7.7899999999999997E-2</v>
      </c>
      <c r="H4">
        <v>0.2271</v>
      </c>
      <c r="I4" s="2">
        <f t="shared" si="2"/>
        <v>0.2671</v>
      </c>
      <c r="J4" s="2">
        <f t="shared" si="3"/>
        <v>0.18920000000000001</v>
      </c>
      <c r="M4">
        <f t="shared" si="0"/>
        <v>11.310782241014815</v>
      </c>
    </row>
    <row r="5" spans="1:13" x14ac:dyDescent="0.25">
      <c r="A5" t="s">
        <v>3</v>
      </c>
      <c r="B5">
        <v>7.9000000000000001E-2</v>
      </c>
      <c r="C5">
        <v>0.22259999999999999</v>
      </c>
      <c r="D5">
        <f t="shared" si="1"/>
        <v>0.14360000000000001</v>
      </c>
      <c r="G5">
        <v>7.8200000000000006E-2</v>
      </c>
      <c r="H5">
        <v>0.21060000000000001</v>
      </c>
      <c r="I5" s="2">
        <f t="shared" si="2"/>
        <v>0.25059999999999999</v>
      </c>
      <c r="J5" s="2">
        <f t="shared" si="3"/>
        <v>0.1724</v>
      </c>
      <c r="M5">
        <f t="shared" si="0"/>
        <v>16.705336426914151</v>
      </c>
    </row>
    <row r="6" spans="1:13" x14ac:dyDescent="0.25">
      <c r="A6" t="s">
        <v>4</v>
      </c>
      <c r="B6">
        <v>8.4599999999999995E-2</v>
      </c>
      <c r="C6">
        <v>0.25140000000000001</v>
      </c>
      <c r="D6">
        <f t="shared" si="1"/>
        <v>0.1668</v>
      </c>
      <c r="G6">
        <v>7.5899999999999995E-2</v>
      </c>
      <c r="H6">
        <v>0.23330000000000001</v>
      </c>
      <c r="I6" s="2">
        <f t="shared" si="2"/>
        <v>0.27329999999999999</v>
      </c>
      <c r="J6" s="2">
        <f t="shared" si="3"/>
        <v>0.19739999999999999</v>
      </c>
      <c r="M6">
        <f t="shared" si="0"/>
        <v>15.501519756838899</v>
      </c>
    </row>
    <row r="7" spans="1:13" x14ac:dyDescent="0.25">
      <c r="A7" t="s">
        <v>5</v>
      </c>
      <c r="B7">
        <v>8.4000000000000005E-2</v>
      </c>
      <c r="C7">
        <v>0.2477</v>
      </c>
      <c r="D7">
        <f t="shared" si="1"/>
        <v>0.16370000000000001</v>
      </c>
      <c r="G7">
        <v>7.9200000000000007E-2</v>
      </c>
      <c r="H7">
        <v>0.21510000000000001</v>
      </c>
      <c r="I7" s="2">
        <f t="shared" si="2"/>
        <v>0.25509999999999999</v>
      </c>
      <c r="J7" s="2">
        <f t="shared" si="3"/>
        <v>0.1759</v>
      </c>
      <c r="M7">
        <f t="shared" si="0"/>
        <v>6.935758953951102</v>
      </c>
    </row>
    <row r="8" spans="1:13" x14ac:dyDescent="0.25">
      <c r="A8" t="s">
        <v>6</v>
      </c>
      <c r="B8">
        <v>8.2500000000000004E-2</v>
      </c>
      <c r="C8">
        <v>0.17979999999999999</v>
      </c>
      <c r="D8">
        <f t="shared" si="1"/>
        <v>9.7299999999999984E-2</v>
      </c>
      <c r="G8">
        <v>7.9799999999999996E-2</v>
      </c>
      <c r="H8">
        <v>0.17219999999999999</v>
      </c>
      <c r="I8" s="2">
        <f t="shared" si="2"/>
        <v>0.2122</v>
      </c>
      <c r="J8" s="2">
        <f t="shared" si="3"/>
        <v>0.13240000000000002</v>
      </c>
      <c r="M8">
        <f t="shared" si="0"/>
        <v>26.51057401812691</v>
      </c>
    </row>
    <row r="9" spans="1:13" x14ac:dyDescent="0.25">
      <c r="A9" t="s">
        <v>7</v>
      </c>
      <c r="B9">
        <v>8.4400000000000003E-2</v>
      </c>
      <c r="C9">
        <v>0.19900000000000001</v>
      </c>
      <c r="D9">
        <f t="shared" si="1"/>
        <v>0.11460000000000001</v>
      </c>
      <c r="G9">
        <v>8.1900000000000001E-2</v>
      </c>
      <c r="H9">
        <v>0.20069999999999999</v>
      </c>
      <c r="I9" s="2">
        <f t="shared" si="2"/>
        <v>0.2407</v>
      </c>
      <c r="J9" s="2">
        <f t="shared" si="3"/>
        <v>0.1588</v>
      </c>
      <c r="M9">
        <f t="shared" si="0"/>
        <v>27.833753148614605</v>
      </c>
    </row>
    <row r="10" spans="1:13" x14ac:dyDescent="0.25">
      <c r="A10" t="s">
        <v>8</v>
      </c>
      <c r="B10">
        <v>8.4000000000000005E-2</v>
      </c>
      <c r="C10">
        <v>0.23039999999999999</v>
      </c>
      <c r="D10">
        <f t="shared" si="1"/>
        <v>0.14639999999999997</v>
      </c>
      <c r="G10">
        <v>8.2900000000000001E-2</v>
      </c>
      <c r="H10">
        <v>0.2122</v>
      </c>
      <c r="I10" s="2">
        <f t="shared" si="2"/>
        <v>0.25219999999999998</v>
      </c>
      <c r="J10" s="2">
        <f t="shared" si="3"/>
        <v>0.16929999999999998</v>
      </c>
      <c r="M10">
        <f t="shared" si="0"/>
        <v>13.526284701712941</v>
      </c>
    </row>
    <row r="11" spans="1:13" x14ac:dyDescent="0.25">
      <c r="A11" t="s">
        <v>9</v>
      </c>
      <c r="B11">
        <v>8.14E-2</v>
      </c>
      <c r="C11">
        <v>0.1802</v>
      </c>
      <c r="D11">
        <f t="shared" si="1"/>
        <v>9.8799999999999999E-2</v>
      </c>
      <c r="G11">
        <v>8.4500000000000006E-2</v>
      </c>
      <c r="H11">
        <v>0.19</v>
      </c>
      <c r="I11" s="2">
        <f t="shared" si="2"/>
        <v>0.23</v>
      </c>
      <c r="J11" s="2">
        <f t="shared" si="3"/>
        <v>0.14550000000000002</v>
      </c>
      <c r="M11">
        <f t="shared" si="0"/>
        <v>32.096219931271484</v>
      </c>
    </row>
    <row r="12" spans="1:13" x14ac:dyDescent="0.25">
      <c r="A12" t="s">
        <v>10</v>
      </c>
      <c r="B12">
        <v>8.2299999999999998E-2</v>
      </c>
      <c r="C12">
        <v>0.18970000000000001</v>
      </c>
      <c r="D12">
        <f t="shared" si="1"/>
        <v>0.10740000000000001</v>
      </c>
      <c r="G12">
        <v>7.9699999999999993E-2</v>
      </c>
      <c r="H12">
        <v>0.1988</v>
      </c>
      <c r="I12" s="2">
        <f t="shared" si="2"/>
        <v>0.23880000000000001</v>
      </c>
      <c r="J12" s="2">
        <f t="shared" si="3"/>
        <v>0.15910000000000002</v>
      </c>
      <c r="M12">
        <f t="shared" si="0"/>
        <v>32.495285983658079</v>
      </c>
    </row>
    <row r="13" spans="1:13" x14ac:dyDescent="0.25">
      <c r="A13" t="s">
        <v>11</v>
      </c>
      <c r="B13">
        <v>8.0799999999999997E-2</v>
      </c>
      <c r="C13">
        <v>0.216</v>
      </c>
      <c r="D13">
        <f t="shared" si="1"/>
        <v>0.13519999999999999</v>
      </c>
      <c r="G13">
        <v>8.2299999999999998E-2</v>
      </c>
      <c r="H13">
        <v>0.20230000000000001</v>
      </c>
      <c r="I13" s="2">
        <f t="shared" si="2"/>
        <v>0.24230000000000002</v>
      </c>
      <c r="J13" s="2">
        <f t="shared" si="3"/>
        <v>0.16000000000000003</v>
      </c>
      <c r="M13">
        <f t="shared" si="0"/>
        <v>15.500000000000025</v>
      </c>
    </row>
    <row r="14" spans="1:13" x14ac:dyDescent="0.25">
      <c r="A14" t="s">
        <v>12</v>
      </c>
      <c r="B14">
        <v>8.1900000000000001E-2</v>
      </c>
      <c r="C14">
        <v>0.1855</v>
      </c>
      <c r="D14">
        <f t="shared" si="1"/>
        <v>0.1036</v>
      </c>
      <c r="G14">
        <v>7.8899999999999998E-2</v>
      </c>
      <c r="H14">
        <v>0.20849999999999999</v>
      </c>
      <c r="I14" s="2">
        <f t="shared" si="2"/>
        <v>0.2485</v>
      </c>
      <c r="J14" s="2">
        <f t="shared" si="3"/>
        <v>0.1696</v>
      </c>
      <c r="M14">
        <f t="shared" si="0"/>
        <v>38.915094339622641</v>
      </c>
    </row>
    <row r="15" spans="1:13" x14ac:dyDescent="0.25">
      <c r="A15" t="s">
        <v>13</v>
      </c>
      <c r="B15">
        <v>8.4500000000000006E-2</v>
      </c>
      <c r="C15">
        <v>0.17649999999999999</v>
      </c>
      <c r="D15">
        <f t="shared" si="1"/>
        <v>9.1999999999999985E-2</v>
      </c>
      <c r="G15">
        <v>7.5399999999999995E-2</v>
      </c>
      <c r="H15">
        <v>0.20630000000000001</v>
      </c>
      <c r="I15" s="2">
        <f t="shared" si="2"/>
        <v>0.24630000000000002</v>
      </c>
      <c r="J15" s="2">
        <f t="shared" si="3"/>
        <v>0.17090000000000002</v>
      </c>
      <c r="M15">
        <f t="shared" si="0"/>
        <v>46.167349327091884</v>
      </c>
    </row>
    <row r="16" spans="1:13" x14ac:dyDescent="0.25">
      <c r="A16" t="s">
        <v>14</v>
      </c>
      <c r="B16">
        <v>8.3599999999999994E-2</v>
      </c>
      <c r="C16">
        <v>0.1552</v>
      </c>
      <c r="D16">
        <f t="shared" si="1"/>
        <v>7.1600000000000011E-2</v>
      </c>
      <c r="G16">
        <v>7.9200000000000007E-2</v>
      </c>
      <c r="H16">
        <v>0.21540000000000001</v>
      </c>
      <c r="I16" s="2">
        <f t="shared" si="2"/>
        <v>0.25540000000000002</v>
      </c>
      <c r="J16" s="2">
        <f t="shared" si="3"/>
        <v>0.17620000000000002</v>
      </c>
      <c r="M16">
        <f t="shared" si="0"/>
        <v>59.364358683314414</v>
      </c>
    </row>
    <row r="17" spans="1:13" x14ac:dyDescent="0.25">
      <c r="A17" t="s">
        <v>15</v>
      </c>
      <c r="B17">
        <v>8.4199999999999997E-2</v>
      </c>
      <c r="C17">
        <v>0.1734</v>
      </c>
      <c r="D17">
        <f t="shared" si="1"/>
        <v>8.9200000000000002E-2</v>
      </c>
      <c r="G17">
        <v>7.9399999999999998E-2</v>
      </c>
      <c r="H17">
        <v>0.19869999999999999</v>
      </c>
      <c r="I17" s="2">
        <f t="shared" si="2"/>
        <v>0.2387</v>
      </c>
      <c r="J17" s="2">
        <f t="shared" si="3"/>
        <v>0.1593</v>
      </c>
      <c r="M17">
        <f t="shared" si="0"/>
        <v>44.005021971123668</v>
      </c>
    </row>
    <row r="18" spans="1:13" x14ac:dyDescent="0.25">
      <c r="A18" t="s">
        <v>16</v>
      </c>
      <c r="B18">
        <v>8.2400000000000001E-2</v>
      </c>
      <c r="C18">
        <v>0.1986</v>
      </c>
      <c r="D18">
        <f t="shared" si="1"/>
        <v>0.1162</v>
      </c>
      <c r="G18">
        <v>8.0699999999999994E-2</v>
      </c>
      <c r="H18">
        <v>0.216</v>
      </c>
      <c r="I18" s="2">
        <f t="shared" si="2"/>
        <v>0.25600000000000001</v>
      </c>
      <c r="J18" s="2">
        <f t="shared" si="3"/>
        <v>0.17530000000000001</v>
      </c>
      <c r="M18">
        <f t="shared" si="0"/>
        <v>33.71363377067884</v>
      </c>
    </row>
    <row r="19" spans="1:13" x14ac:dyDescent="0.25">
      <c r="A19" t="s">
        <v>17</v>
      </c>
      <c r="B19">
        <v>7.8899999999999998E-2</v>
      </c>
      <c r="C19">
        <v>0.15379999999999999</v>
      </c>
      <c r="D19">
        <f t="shared" si="1"/>
        <v>7.4899999999999994E-2</v>
      </c>
      <c r="G19">
        <v>7.9000000000000001E-2</v>
      </c>
      <c r="H19">
        <v>0.1643</v>
      </c>
      <c r="I19" s="2">
        <f t="shared" si="2"/>
        <v>0.20430000000000001</v>
      </c>
      <c r="J19" s="2">
        <f t="shared" si="3"/>
        <v>0.12530000000000002</v>
      </c>
      <c r="M19">
        <f t="shared" si="0"/>
        <v>40.223463687150854</v>
      </c>
    </row>
    <row r="20" spans="1:13" x14ac:dyDescent="0.25">
      <c r="A20" t="s">
        <v>18</v>
      </c>
      <c r="B20">
        <v>8.4599999999999995E-2</v>
      </c>
      <c r="C20">
        <v>0.2414</v>
      </c>
      <c r="D20">
        <f t="shared" si="1"/>
        <v>0.15679999999999999</v>
      </c>
      <c r="G20">
        <v>8.4599999999999995E-2</v>
      </c>
      <c r="H20">
        <v>0.21129999999999999</v>
      </c>
      <c r="I20" s="2">
        <f t="shared" si="2"/>
        <v>0.25129999999999997</v>
      </c>
      <c r="J20" s="2">
        <f t="shared" si="3"/>
        <v>0.16669999999999996</v>
      </c>
      <c r="M20">
        <f t="shared" si="0"/>
        <v>5.9388122375524697</v>
      </c>
    </row>
    <row r="21" spans="1:13" x14ac:dyDescent="0.25">
      <c r="A21" t="s">
        <v>19</v>
      </c>
      <c r="B21">
        <v>8.72E-2</v>
      </c>
      <c r="C21">
        <v>0.126</v>
      </c>
      <c r="D21">
        <f t="shared" si="1"/>
        <v>3.8800000000000001E-2</v>
      </c>
      <c r="G21">
        <v>8.1000000000000003E-2</v>
      </c>
      <c r="H21">
        <v>0.20780000000000001</v>
      </c>
      <c r="I21" s="2">
        <f t="shared" si="2"/>
        <v>0.24780000000000002</v>
      </c>
      <c r="J21" s="2">
        <f t="shared" si="3"/>
        <v>0.1668</v>
      </c>
      <c r="M21">
        <f t="shared" si="0"/>
        <v>76.738609112709838</v>
      </c>
    </row>
    <row r="22" spans="1:13" x14ac:dyDescent="0.25">
      <c r="A22" t="s">
        <v>20</v>
      </c>
      <c r="B22">
        <v>8.2299999999999998E-2</v>
      </c>
      <c r="C22">
        <v>0.23019999999999999</v>
      </c>
      <c r="D22">
        <f t="shared" si="1"/>
        <v>0.14789999999999998</v>
      </c>
      <c r="G22">
        <v>8.43E-2</v>
      </c>
      <c r="H22">
        <v>0.2041</v>
      </c>
      <c r="I22" s="2">
        <f t="shared" si="2"/>
        <v>0.24410000000000001</v>
      </c>
      <c r="J22" s="2">
        <f t="shared" si="3"/>
        <v>0.1598</v>
      </c>
      <c r="M22">
        <f t="shared" si="0"/>
        <v>7.4468085106383111</v>
      </c>
    </row>
    <row r="23" spans="1:13" x14ac:dyDescent="0.25">
      <c r="A23" t="s">
        <v>21</v>
      </c>
      <c r="B23">
        <v>8.3699999999999997E-2</v>
      </c>
      <c r="C23">
        <v>0.18279999999999999</v>
      </c>
      <c r="D23">
        <f t="shared" si="1"/>
        <v>9.9099999999999994E-2</v>
      </c>
      <c r="G23">
        <v>8.0399999999999999E-2</v>
      </c>
      <c r="H23">
        <v>0.19819999999999999</v>
      </c>
      <c r="I23" s="2">
        <f t="shared" si="2"/>
        <v>0.2382</v>
      </c>
      <c r="J23" s="2">
        <f t="shared" si="3"/>
        <v>0.1578</v>
      </c>
      <c r="M23">
        <f t="shared" si="0"/>
        <v>37.198986058301649</v>
      </c>
    </row>
    <row r="24" spans="1:13" x14ac:dyDescent="0.25">
      <c r="A24" t="s">
        <v>22</v>
      </c>
      <c r="B24">
        <v>8.0399999999999999E-2</v>
      </c>
      <c r="C24">
        <v>0.21629999999999999</v>
      </c>
      <c r="D24">
        <f t="shared" si="1"/>
        <v>0.13589999999999999</v>
      </c>
      <c r="G24">
        <v>8.6599999999999996E-2</v>
      </c>
      <c r="H24">
        <v>0.22500000000000001</v>
      </c>
      <c r="I24" s="2">
        <f t="shared" si="2"/>
        <v>0.26500000000000001</v>
      </c>
      <c r="J24" s="2">
        <f t="shared" si="3"/>
        <v>0.1784</v>
      </c>
      <c r="M24">
        <f t="shared" si="0"/>
        <v>23.822869955156957</v>
      </c>
    </row>
    <row r="25" spans="1:13" x14ac:dyDescent="0.25">
      <c r="A25" t="s">
        <v>23</v>
      </c>
      <c r="B25">
        <v>8.1000000000000003E-2</v>
      </c>
      <c r="C25">
        <v>0.1996</v>
      </c>
      <c r="D25">
        <f t="shared" si="1"/>
        <v>0.1186</v>
      </c>
      <c r="G25">
        <v>8.0699999999999994E-2</v>
      </c>
      <c r="H25">
        <v>0.20699999999999999</v>
      </c>
      <c r="I25" s="2">
        <f t="shared" si="2"/>
        <v>0.247</v>
      </c>
      <c r="J25" s="2">
        <f t="shared" si="3"/>
        <v>0.1663</v>
      </c>
      <c r="M25">
        <f t="shared" si="0"/>
        <v>28.683102826217681</v>
      </c>
    </row>
    <row r="26" spans="1:13" x14ac:dyDescent="0.25">
      <c r="A26" t="s">
        <v>24</v>
      </c>
      <c r="B26">
        <v>8.0799999999999997E-2</v>
      </c>
      <c r="C26">
        <v>0.13489999999999999</v>
      </c>
      <c r="D26">
        <f t="shared" si="1"/>
        <v>5.4099999999999995E-2</v>
      </c>
      <c r="G26">
        <v>8.14E-2</v>
      </c>
      <c r="H26">
        <v>0.17150000000000001</v>
      </c>
      <c r="I26" s="2">
        <f t="shared" si="2"/>
        <v>0.21150000000000002</v>
      </c>
      <c r="J26" s="2">
        <f t="shared" si="3"/>
        <v>0.13010000000000002</v>
      </c>
      <c r="M26">
        <f t="shared" si="0"/>
        <v>58.416602613374337</v>
      </c>
    </row>
    <row r="27" spans="1:13" x14ac:dyDescent="0.25">
      <c r="A27" t="s">
        <v>25</v>
      </c>
      <c r="B27">
        <v>8.09E-2</v>
      </c>
      <c r="C27">
        <v>0.18459999999999999</v>
      </c>
      <c r="D27">
        <f t="shared" si="1"/>
        <v>0.10369999999999999</v>
      </c>
      <c r="G27">
        <v>7.8399999999999997E-2</v>
      </c>
      <c r="H27">
        <v>0.1782</v>
      </c>
      <c r="I27" s="2">
        <f t="shared" si="2"/>
        <v>0.21820000000000001</v>
      </c>
      <c r="J27" s="2">
        <f t="shared" si="3"/>
        <v>0.13980000000000001</v>
      </c>
      <c r="M27">
        <f t="shared" si="0"/>
        <v>25.822603719599442</v>
      </c>
    </row>
    <row r="28" spans="1:13" x14ac:dyDescent="0.25">
      <c r="A28" t="s">
        <v>26</v>
      </c>
      <c r="B28">
        <v>8.3400000000000002E-2</v>
      </c>
      <c r="C28">
        <v>0.22070000000000001</v>
      </c>
      <c r="D28">
        <f t="shared" si="1"/>
        <v>0.13730000000000001</v>
      </c>
      <c r="G28">
        <v>8.09E-2</v>
      </c>
      <c r="H28">
        <v>0.20330000000000001</v>
      </c>
      <c r="I28" s="2">
        <f t="shared" si="2"/>
        <v>0.24330000000000002</v>
      </c>
      <c r="J28" s="2">
        <f t="shared" si="3"/>
        <v>0.16240000000000002</v>
      </c>
      <c r="M28">
        <f t="shared" si="0"/>
        <v>15.455665024630546</v>
      </c>
    </row>
    <row r="29" spans="1:13" x14ac:dyDescent="0.25">
      <c r="A29" t="s">
        <v>27</v>
      </c>
      <c r="B29">
        <v>8.2299999999999998E-2</v>
      </c>
      <c r="C29">
        <v>0.1633</v>
      </c>
      <c r="D29">
        <f t="shared" si="1"/>
        <v>8.1000000000000003E-2</v>
      </c>
      <c r="G29">
        <v>7.8600000000000003E-2</v>
      </c>
      <c r="H29">
        <v>0.19620000000000001</v>
      </c>
      <c r="I29" s="2">
        <f t="shared" si="2"/>
        <v>0.23620000000000002</v>
      </c>
      <c r="J29" s="2">
        <f t="shared" si="3"/>
        <v>0.15760000000000002</v>
      </c>
      <c r="M29">
        <f t="shared" si="0"/>
        <v>48.604060913705588</v>
      </c>
    </row>
    <row r="30" spans="1:13" x14ac:dyDescent="0.25">
      <c r="A30" t="s">
        <v>28</v>
      </c>
      <c r="B30">
        <v>8.5099999999999995E-2</v>
      </c>
      <c r="C30">
        <v>0.22489999999999999</v>
      </c>
      <c r="D30">
        <f t="shared" si="1"/>
        <v>0.13979999999999998</v>
      </c>
      <c r="G30">
        <v>7.9600000000000004E-2</v>
      </c>
      <c r="H30">
        <v>0.21279999999999999</v>
      </c>
      <c r="I30" s="2">
        <f t="shared" si="2"/>
        <v>0.25279999999999997</v>
      </c>
      <c r="J30" s="2">
        <f t="shared" si="3"/>
        <v>0.17319999999999997</v>
      </c>
      <c r="M30">
        <f t="shared" si="0"/>
        <v>19.284064665127016</v>
      </c>
    </row>
    <row r="31" spans="1:13" x14ac:dyDescent="0.25">
      <c r="A31" t="s">
        <v>29</v>
      </c>
      <c r="B31">
        <v>8.1799999999999998E-2</v>
      </c>
      <c r="C31">
        <v>0.23330000000000001</v>
      </c>
      <c r="D31">
        <f t="shared" si="1"/>
        <v>0.15150000000000002</v>
      </c>
      <c r="G31">
        <v>7.8899999999999998E-2</v>
      </c>
      <c r="H31">
        <v>0.21970000000000001</v>
      </c>
      <c r="I31" s="2">
        <f t="shared" si="2"/>
        <v>0.25969999999999999</v>
      </c>
      <c r="J31" s="2">
        <f t="shared" si="3"/>
        <v>0.18079999999999999</v>
      </c>
      <c r="M31">
        <f t="shared" si="0"/>
        <v>16.205752212389363</v>
      </c>
    </row>
    <row r="32" spans="1:13" x14ac:dyDescent="0.25">
      <c r="A32" t="s">
        <v>30</v>
      </c>
      <c r="B32">
        <v>7.8700000000000006E-2</v>
      </c>
      <c r="C32">
        <v>8.1799999999999998E-2</v>
      </c>
      <c r="D32">
        <f t="shared" si="1"/>
        <v>3.0999999999999917E-3</v>
      </c>
      <c r="G32">
        <v>7.8399999999999997E-2</v>
      </c>
      <c r="H32">
        <v>8.2799999999999999E-2</v>
      </c>
      <c r="I32" s="2">
        <f t="shared" si="2"/>
        <v>0.12279999999999999</v>
      </c>
      <c r="J32" s="2">
        <f t="shared" si="3"/>
        <v>4.4399999999999995E-2</v>
      </c>
      <c r="M32">
        <f t="shared" si="0"/>
        <v>93.01801801801804</v>
      </c>
    </row>
    <row r="33" spans="1:13" x14ac:dyDescent="0.25">
      <c r="A33" t="s">
        <v>31</v>
      </c>
      <c r="B33">
        <v>8.3400000000000002E-2</v>
      </c>
      <c r="C33">
        <v>0.1946</v>
      </c>
      <c r="D33">
        <f t="shared" si="1"/>
        <v>0.11119999999999999</v>
      </c>
      <c r="G33">
        <v>8.09E-2</v>
      </c>
      <c r="H33">
        <v>0.20899999999999999</v>
      </c>
      <c r="I33" s="2">
        <f t="shared" si="2"/>
        <v>0.249</v>
      </c>
      <c r="J33" s="2">
        <f t="shared" si="3"/>
        <v>0.1681</v>
      </c>
      <c r="M33">
        <f t="shared" si="0"/>
        <v>33.848899464604401</v>
      </c>
    </row>
    <row r="34" spans="1:13" x14ac:dyDescent="0.25">
      <c r="A34" t="s">
        <v>32</v>
      </c>
      <c r="B34">
        <v>8.3599999999999994E-2</v>
      </c>
      <c r="C34">
        <v>0.18310000000000001</v>
      </c>
      <c r="D34">
        <f t="shared" si="1"/>
        <v>9.9500000000000019E-2</v>
      </c>
      <c r="G34">
        <v>8.2500000000000004E-2</v>
      </c>
      <c r="H34">
        <v>0.1956</v>
      </c>
      <c r="I34" s="2">
        <f t="shared" si="2"/>
        <v>0.2356</v>
      </c>
      <c r="J34" s="2">
        <f t="shared" si="3"/>
        <v>0.15310000000000001</v>
      </c>
      <c r="M34">
        <f t="shared" ref="M34:M65" si="4">((J34-D34)/J34)*100</f>
        <v>35.009797517962113</v>
      </c>
    </row>
    <row r="35" spans="1:13" x14ac:dyDescent="0.25">
      <c r="A35" t="s">
        <v>33</v>
      </c>
      <c r="B35">
        <v>8.48E-2</v>
      </c>
      <c r="C35">
        <v>0.2329</v>
      </c>
      <c r="D35">
        <f t="shared" si="1"/>
        <v>0.14810000000000001</v>
      </c>
      <c r="G35">
        <v>8.3199999999999996E-2</v>
      </c>
      <c r="H35">
        <v>0.20480000000000001</v>
      </c>
      <c r="I35" s="2">
        <f t="shared" si="2"/>
        <v>0.24480000000000002</v>
      </c>
      <c r="J35" s="2">
        <f t="shared" si="3"/>
        <v>0.16160000000000002</v>
      </c>
      <c r="M35">
        <f t="shared" si="4"/>
        <v>8.3539603960396107</v>
      </c>
    </row>
    <row r="36" spans="1:13" x14ac:dyDescent="0.25">
      <c r="A36" t="s">
        <v>34</v>
      </c>
      <c r="B36">
        <v>8.3400000000000002E-2</v>
      </c>
      <c r="C36">
        <v>0.20039999999999999</v>
      </c>
      <c r="D36">
        <f t="shared" si="1"/>
        <v>0.11699999999999999</v>
      </c>
      <c r="G36">
        <v>7.9600000000000004E-2</v>
      </c>
      <c r="H36">
        <v>0.19400000000000001</v>
      </c>
      <c r="I36" s="2">
        <f t="shared" si="2"/>
        <v>0.23400000000000001</v>
      </c>
      <c r="J36" s="2">
        <f t="shared" si="3"/>
        <v>0.15440000000000001</v>
      </c>
      <c r="M36">
        <f t="shared" si="4"/>
        <v>24.222797927461148</v>
      </c>
    </row>
    <row r="37" spans="1:13" x14ac:dyDescent="0.25">
      <c r="A37" t="s">
        <v>35</v>
      </c>
      <c r="B37">
        <v>8.14E-2</v>
      </c>
      <c r="C37">
        <v>0.224</v>
      </c>
      <c r="D37">
        <f t="shared" si="1"/>
        <v>0.1426</v>
      </c>
      <c r="G37">
        <v>7.8899999999999998E-2</v>
      </c>
      <c r="H37">
        <v>0.21240000000000001</v>
      </c>
      <c r="I37" s="2">
        <f t="shared" si="2"/>
        <v>0.25240000000000001</v>
      </c>
      <c r="J37" s="2">
        <f t="shared" si="3"/>
        <v>0.17350000000000002</v>
      </c>
      <c r="M37">
        <f t="shared" si="4"/>
        <v>17.809798270893378</v>
      </c>
    </row>
    <row r="38" spans="1:13" x14ac:dyDescent="0.25">
      <c r="A38" t="s">
        <v>36</v>
      </c>
      <c r="B38">
        <v>7.9799999999999996E-2</v>
      </c>
      <c r="C38">
        <v>0.19650000000000001</v>
      </c>
      <c r="D38">
        <f t="shared" si="1"/>
        <v>0.11670000000000001</v>
      </c>
      <c r="G38">
        <v>7.7799999999999994E-2</v>
      </c>
      <c r="H38">
        <v>0.21390000000000001</v>
      </c>
      <c r="I38" s="2">
        <f t="shared" si="2"/>
        <v>0.25390000000000001</v>
      </c>
      <c r="J38" s="2">
        <f t="shared" si="3"/>
        <v>0.17610000000000003</v>
      </c>
      <c r="M38">
        <f t="shared" si="4"/>
        <v>33.730834752981266</v>
      </c>
    </row>
    <row r="39" spans="1:13" x14ac:dyDescent="0.25">
      <c r="A39" t="s">
        <v>37</v>
      </c>
      <c r="B39">
        <v>7.8799999999999995E-2</v>
      </c>
      <c r="C39">
        <v>0.21179999999999999</v>
      </c>
      <c r="D39">
        <f t="shared" si="1"/>
        <v>0.13300000000000001</v>
      </c>
      <c r="G39">
        <v>8.0100000000000005E-2</v>
      </c>
      <c r="H39">
        <v>0.2026</v>
      </c>
      <c r="I39" s="2">
        <f t="shared" si="2"/>
        <v>0.24260000000000001</v>
      </c>
      <c r="J39" s="2">
        <f t="shared" si="3"/>
        <v>0.16250000000000001</v>
      </c>
      <c r="M39">
        <f t="shared" si="4"/>
        <v>18.15384615384615</v>
      </c>
    </row>
    <row r="40" spans="1:13" x14ac:dyDescent="0.25">
      <c r="A40" t="s">
        <v>38</v>
      </c>
      <c r="B40">
        <v>8.2900000000000001E-2</v>
      </c>
      <c r="C40">
        <v>0.21429999999999999</v>
      </c>
      <c r="D40">
        <f t="shared" si="1"/>
        <v>0.13139999999999999</v>
      </c>
      <c r="G40">
        <v>7.7700000000000005E-2</v>
      </c>
      <c r="H40">
        <v>0.2172</v>
      </c>
      <c r="I40" s="2">
        <f t="shared" si="2"/>
        <v>0.25719999999999998</v>
      </c>
      <c r="J40" s="2">
        <f t="shared" si="3"/>
        <v>0.17949999999999999</v>
      </c>
      <c r="M40">
        <f t="shared" si="4"/>
        <v>26.796657381615603</v>
      </c>
    </row>
    <row r="41" spans="1:13" x14ac:dyDescent="0.25">
      <c r="A41" t="s">
        <v>39</v>
      </c>
      <c r="B41">
        <v>8.4199999999999997E-2</v>
      </c>
      <c r="C41">
        <v>0.1958</v>
      </c>
      <c r="D41">
        <f t="shared" si="1"/>
        <v>0.1116</v>
      </c>
      <c r="G41">
        <v>8.1699999999999995E-2</v>
      </c>
      <c r="H41">
        <v>0.2024</v>
      </c>
      <c r="I41" s="2">
        <f t="shared" si="2"/>
        <v>0.2424</v>
      </c>
      <c r="J41" s="2">
        <f t="shared" si="3"/>
        <v>0.16070000000000001</v>
      </c>
      <c r="M41">
        <f t="shared" si="4"/>
        <v>30.553827006845051</v>
      </c>
    </row>
    <row r="42" spans="1:13" x14ac:dyDescent="0.25">
      <c r="A42" t="s">
        <v>40</v>
      </c>
      <c r="B42">
        <v>8.4900000000000003E-2</v>
      </c>
      <c r="C42">
        <v>0.21279999999999999</v>
      </c>
      <c r="D42">
        <f t="shared" si="1"/>
        <v>0.12789999999999999</v>
      </c>
      <c r="G42">
        <v>8.2799999999999999E-2</v>
      </c>
      <c r="H42">
        <v>0.22090000000000001</v>
      </c>
      <c r="I42" s="2">
        <f t="shared" si="2"/>
        <v>0.26090000000000002</v>
      </c>
      <c r="J42" s="2">
        <f t="shared" si="3"/>
        <v>0.17810000000000004</v>
      </c>
      <c r="M42">
        <f t="shared" si="4"/>
        <v>28.186412128017992</v>
      </c>
    </row>
    <row r="43" spans="1:13" x14ac:dyDescent="0.25">
      <c r="A43" t="s">
        <v>41</v>
      </c>
      <c r="B43">
        <v>8.2299999999999998E-2</v>
      </c>
      <c r="C43">
        <v>0.19689999999999999</v>
      </c>
      <c r="D43">
        <f t="shared" si="1"/>
        <v>0.11459999999999999</v>
      </c>
      <c r="G43">
        <v>8.3000000000000004E-2</v>
      </c>
      <c r="H43">
        <v>0.19139999999999999</v>
      </c>
      <c r="I43" s="2">
        <f t="shared" si="2"/>
        <v>0.23139999999999999</v>
      </c>
      <c r="J43" s="2">
        <f t="shared" si="3"/>
        <v>0.14839999999999998</v>
      </c>
      <c r="M43">
        <f t="shared" si="4"/>
        <v>22.776280323450127</v>
      </c>
    </row>
    <row r="44" spans="1:13" x14ac:dyDescent="0.25">
      <c r="A44" t="s">
        <v>42</v>
      </c>
      <c r="B44">
        <v>8.9099999999999999E-2</v>
      </c>
      <c r="C44">
        <v>0.185</v>
      </c>
      <c r="D44">
        <f t="shared" si="1"/>
        <v>9.5899999999999999E-2</v>
      </c>
      <c r="G44">
        <v>8.2100000000000006E-2</v>
      </c>
      <c r="H44">
        <v>0.18509999999999999</v>
      </c>
      <c r="I44" s="2">
        <f t="shared" si="2"/>
        <v>0.22509999999999999</v>
      </c>
      <c r="J44" s="2">
        <f t="shared" si="3"/>
        <v>0.14299999999999999</v>
      </c>
      <c r="M44">
        <f t="shared" si="4"/>
        <v>32.937062937062933</v>
      </c>
    </row>
    <row r="45" spans="1:13" x14ac:dyDescent="0.25">
      <c r="A45" t="s">
        <v>43</v>
      </c>
      <c r="B45">
        <v>8.4699999999999998E-2</v>
      </c>
      <c r="C45">
        <v>0.192</v>
      </c>
      <c r="D45">
        <f t="shared" si="1"/>
        <v>0.10730000000000001</v>
      </c>
      <c r="G45">
        <v>8.1799999999999998E-2</v>
      </c>
      <c r="H45">
        <v>0.21160000000000001</v>
      </c>
      <c r="I45" s="2">
        <f t="shared" si="2"/>
        <v>0.25159999999999999</v>
      </c>
      <c r="J45" s="2">
        <f t="shared" si="3"/>
        <v>0.16980000000000001</v>
      </c>
      <c r="M45">
        <f t="shared" si="4"/>
        <v>36.808009422850411</v>
      </c>
    </row>
    <row r="46" spans="1:13" x14ac:dyDescent="0.25">
      <c r="A46" t="s">
        <v>44</v>
      </c>
      <c r="B46">
        <v>8.3500000000000005E-2</v>
      </c>
      <c r="C46">
        <v>0.22600000000000001</v>
      </c>
      <c r="D46">
        <f t="shared" si="1"/>
        <v>0.14250000000000002</v>
      </c>
      <c r="G46">
        <v>8.0799999999999997E-2</v>
      </c>
      <c r="H46">
        <v>0.21279999999999999</v>
      </c>
      <c r="I46" s="2">
        <f t="shared" si="2"/>
        <v>0.25279999999999997</v>
      </c>
      <c r="J46" s="2">
        <f t="shared" si="3"/>
        <v>0.17199999999999999</v>
      </c>
      <c r="M46">
        <f t="shared" si="4"/>
        <v>17.151162790697658</v>
      </c>
    </row>
    <row r="47" spans="1:13" x14ac:dyDescent="0.25">
      <c r="A47" t="s">
        <v>45</v>
      </c>
      <c r="B47">
        <v>8.2400000000000001E-2</v>
      </c>
      <c r="C47">
        <v>8.77E-2</v>
      </c>
      <c r="D47">
        <f t="shared" si="1"/>
        <v>5.2999999999999992E-3</v>
      </c>
      <c r="G47">
        <v>7.9899999999999999E-2</v>
      </c>
      <c r="H47">
        <v>0.11849999999999999</v>
      </c>
      <c r="I47" s="2">
        <f t="shared" si="2"/>
        <v>0.1585</v>
      </c>
      <c r="J47" s="2">
        <f t="shared" si="3"/>
        <v>7.8600000000000003E-2</v>
      </c>
      <c r="M47">
        <f t="shared" si="4"/>
        <v>93.256997455470739</v>
      </c>
    </row>
    <row r="48" spans="1:13" x14ac:dyDescent="0.25">
      <c r="A48" t="s">
        <v>46</v>
      </c>
      <c r="B48">
        <v>8.0500000000000002E-2</v>
      </c>
      <c r="C48">
        <v>0.1772</v>
      </c>
      <c r="D48">
        <f t="shared" si="1"/>
        <v>9.6699999999999994E-2</v>
      </c>
      <c r="G48">
        <v>7.7299999999999994E-2</v>
      </c>
      <c r="H48">
        <v>0.20630000000000001</v>
      </c>
      <c r="I48" s="2">
        <f t="shared" si="2"/>
        <v>0.24630000000000002</v>
      </c>
      <c r="J48" s="2">
        <f t="shared" si="3"/>
        <v>0.16900000000000004</v>
      </c>
      <c r="M48">
        <f t="shared" si="4"/>
        <v>42.781065088757416</v>
      </c>
    </row>
    <row r="49" spans="1:13" x14ac:dyDescent="0.25">
      <c r="A49" t="s">
        <v>47</v>
      </c>
      <c r="B49">
        <v>7.9600000000000004E-2</v>
      </c>
      <c r="C49">
        <v>0.15859999999999999</v>
      </c>
      <c r="D49">
        <f t="shared" si="1"/>
        <v>7.8999999999999987E-2</v>
      </c>
      <c r="G49">
        <v>7.7899999999999997E-2</v>
      </c>
      <c r="H49">
        <v>0.1701</v>
      </c>
      <c r="I49" s="2">
        <f t="shared" si="2"/>
        <v>0.21010000000000001</v>
      </c>
      <c r="J49" s="2">
        <f t="shared" si="3"/>
        <v>0.13220000000000001</v>
      </c>
      <c r="M49">
        <f t="shared" si="4"/>
        <v>40.242057488653572</v>
      </c>
    </row>
    <row r="50" spans="1:13" x14ac:dyDescent="0.25">
      <c r="A50" t="s">
        <v>48</v>
      </c>
      <c r="B50">
        <v>7.9899999999999999E-2</v>
      </c>
      <c r="C50">
        <v>0.2263</v>
      </c>
      <c r="D50">
        <f t="shared" si="1"/>
        <v>0.1464</v>
      </c>
      <c r="G50">
        <v>7.8899999999999998E-2</v>
      </c>
      <c r="H50">
        <v>0.2102</v>
      </c>
      <c r="I50" s="2">
        <f t="shared" si="2"/>
        <v>0.25019999999999998</v>
      </c>
      <c r="J50" s="2">
        <f t="shared" si="3"/>
        <v>0.17129999999999998</v>
      </c>
      <c r="M50">
        <f t="shared" si="4"/>
        <v>14.535901926444822</v>
      </c>
    </row>
    <row r="51" spans="1:13" x14ac:dyDescent="0.25">
      <c r="A51" t="s">
        <v>49</v>
      </c>
      <c r="B51">
        <v>7.9699999999999993E-2</v>
      </c>
      <c r="C51">
        <v>0.22500000000000001</v>
      </c>
      <c r="D51">
        <f t="shared" si="1"/>
        <v>0.14530000000000001</v>
      </c>
      <c r="G51">
        <v>8.0100000000000005E-2</v>
      </c>
      <c r="H51">
        <v>0.21690000000000001</v>
      </c>
      <c r="I51" s="2">
        <f t="shared" si="2"/>
        <v>0.25690000000000002</v>
      </c>
      <c r="J51" s="2">
        <f t="shared" si="3"/>
        <v>0.17680000000000001</v>
      </c>
      <c r="M51">
        <f t="shared" si="4"/>
        <v>17.816742081447963</v>
      </c>
    </row>
    <row r="52" spans="1:13" x14ac:dyDescent="0.25">
      <c r="A52" t="s">
        <v>50</v>
      </c>
      <c r="B52">
        <v>8.2299999999999998E-2</v>
      </c>
      <c r="C52">
        <v>0.2235</v>
      </c>
      <c r="D52">
        <f t="shared" si="1"/>
        <v>0.14119999999999999</v>
      </c>
      <c r="G52">
        <v>8.1799999999999998E-2</v>
      </c>
      <c r="H52">
        <v>0.2137</v>
      </c>
      <c r="I52" s="2">
        <f t="shared" si="2"/>
        <v>0.25369999999999998</v>
      </c>
      <c r="J52" s="2">
        <f t="shared" si="3"/>
        <v>0.1719</v>
      </c>
      <c r="M52">
        <f t="shared" si="4"/>
        <v>17.859220477021527</v>
      </c>
    </row>
    <row r="53" spans="1:13" x14ac:dyDescent="0.25">
      <c r="A53" t="s">
        <v>51</v>
      </c>
      <c r="B53">
        <v>8.2900000000000001E-2</v>
      </c>
      <c r="C53">
        <v>0.2051</v>
      </c>
      <c r="D53">
        <f t="shared" si="1"/>
        <v>0.1222</v>
      </c>
      <c r="G53">
        <v>8.2400000000000001E-2</v>
      </c>
      <c r="H53">
        <v>0.20449999999999999</v>
      </c>
      <c r="I53" s="2">
        <f t="shared" si="2"/>
        <v>0.2445</v>
      </c>
      <c r="J53" s="2">
        <f t="shared" si="3"/>
        <v>0.16209999999999999</v>
      </c>
      <c r="M53">
        <f t="shared" si="4"/>
        <v>24.614435533621219</v>
      </c>
    </row>
    <row r="54" spans="1:13" x14ac:dyDescent="0.25">
      <c r="A54" t="s">
        <v>52</v>
      </c>
      <c r="B54">
        <v>8.2400000000000001E-2</v>
      </c>
      <c r="C54">
        <v>0.21540000000000001</v>
      </c>
      <c r="D54">
        <f t="shared" si="1"/>
        <v>0.13300000000000001</v>
      </c>
      <c r="G54">
        <v>7.9899999999999999E-2</v>
      </c>
      <c r="H54">
        <v>0.2137</v>
      </c>
      <c r="I54" s="2">
        <f t="shared" si="2"/>
        <v>0.25369999999999998</v>
      </c>
      <c r="J54" s="2">
        <f t="shared" si="3"/>
        <v>0.17379999999999998</v>
      </c>
      <c r="M54">
        <f t="shared" si="4"/>
        <v>23.47525891829688</v>
      </c>
    </row>
    <row r="55" spans="1:13" x14ac:dyDescent="0.25">
      <c r="A55" t="s">
        <v>53</v>
      </c>
      <c r="B55">
        <v>7.9399999999999998E-2</v>
      </c>
      <c r="C55">
        <v>0.1636</v>
      </c>
      <c r="D55">
        <f t="shared" si="1"/>
        <v>8.4199999999999997E-2</v>
      </c>
      <c r="G55">
        <v>8.3400000000000002E-2</v>
      </c>
      <c r="H55">
        <v>0.20150000000000001</v>
      </c>
      <c r="I55" s="2">
        <f t="shared" si="2"/>
        <v>0.24150000000000002</v>
      </c>
      <c r="J55" s="2">
        <f t="shared" si="3"/>
        <v>0.15810000000000002</v>
      </c>
      <c r="M55">
        <f t="shared" si="4"/>
        <v>46.742567994939918</v>
      </c>
    </row>
    <row r="56" spans="1:13" x14ac:dyDescent="0.25">
      <c r="A56" t="s">
        <v>54</v>
      </c>
      <c r="B56">
        <v>8.3699999999999997E-2</v>
      </c>
      <c r="C56">
        <v>0.19450000000000001</v>
      </c>
      <c r="D56">
        <f t="shared" si="1"/>
        <v>0.11080000000000001</v>
      </c>
      <c r="G56">
        <v>8.43E-2</v>
      </c>
      <c r="H56">
        <v>0.20660000000000001</v>
      </c>
      <c r="I56" s="2">
        <f t="shared" si="2"/>
        <v>0.24660000000000001</v>
      </c>
      <c r="J56" s="2">
        <f t="shared" si="3"/>
        <v>0.1623</v>
      </c>
      <c r="M56">
        <f t="shared" si="4"/>
        <v>31.731361675908804</v>
      </c>
    </row>
    <row r="57" spans="1:13" x14ac:dyDescent="0.25">
      <c r="A57" t="s">
        <v>55</v>
      </c>
      <c r="B57">
        <v>7.8899999999999998E-2</v>
      </c>
      <c r="C57">
        <v>0.22509999999999999</v>
      </c>
      <c r="D57">
        <f t="shared" si="1"/>
        <v>0.1462</v>
      </c>
      <c r="G57">
        <v>8.0799999999999997E-2</v>
      </c>
      <c r="H57">
        <v>0.2011</v>
      </c>
      <c r="I57" s="2">
        <f t="shared" si="2"/>
        <v>0.24110000000000001</v>
      </c>
      <c r="J57" s="2">
        <f t="shared" si="3"/>
        <v>0.1603</v>
      </c>
      <c r="M57">
        <f t="shared" si="4"/>
        <v>8.7960074859638198</v>
      </c>
    </row>
    <row r="58" spans="1:13" x14ac:dyDescent="0.25">
      <c r="A58" t="s">
        <v>56</v>
      </c>
      <c r="B58">
        <v>8.1199999999999994E-2</v>
      </c>
      <c r="C58">
        <v>0.20180000000000001</v>
      </c>
      <c r="D58">
        <f t="shared" si="1"/>
        <v>0.12060000000000001</v>
      </c>
      <c r="G58">
        <v>7.9500000000000001E-2</v>
      </c>
      <c r="H58">
        <v>0.19170000000000001</v>
      </c>
      <c r="I58" s="2">
        <f t="shared" si="2"/>
        <v>0.23170000000000002</v>
      </c>
      <c r="J58" s="2">
        <f t="shared" si="3"/>
        <v>0.1522</v>
      </c>
      <c r="M58">
        <f t="shared" si="4"/>
        <v>20.762155059132713</v>
      </c>
    </row>
    <row r="59" spans="1:13" x14ac:dyDescent="0.25">
      <c r="A59" t="s">
        <v>57</v>
      </c>
      <c r="B59">
        <v>8.3699999999999997E-2</v>
      </c>
      <c r="C59">
        <v>0.16889999999999999</v>
      </c>
      <c r="D59">
        <f t="shared" si="1"/>
        <v>8.5199999999999998E-2</v>
      </c>
      <c r="G59">
        <v>8.1799999999999998E-2</v>
      </c>
      <c r="H59">
        <v>0.19120000000000001</v>
      </c>
      <c r="I59" s="2">
        <f t="shared" si="2"/>
        <v>0.23120000000000002</v>
      </c>
      <c r="J59" s="2">
        <f t="shared" si="3"/>
        <v>0.14940000000000003</v>
      </c>
      <c r="M59">
        <f t="shared" si="4"/>
        <v>42.971887550200819</v>
      </c>
    </row>
    <row r="60" spans="1:13" x14ac:dyDescent="0.25">
      <c r="A60" t="s">
        <v>58</v>
      </c>
      <c r="B60">
        <v>8.0399999999999999E-2</v>
      </c>
      <c r="C60">
        <v>0.1588</v>
      </c>
      <c r="D60">
        <f t="shared" si="1"/>
        <v>7.8399999999999997E-2</v>
      </c>
      <c r="G60">
        <v>7.8E-2</v>
      </c>
      <c r="H60">
        <v>0.16539999999999999</v>
      </c>
      <c r="I60" s="2">
        <f t="shared" si="2"/>
        <v>0.2054</v>
      </c>
      <c r="J60" s="2">
        <f t="shared" si="3"/>
        <v>0.12740000000000001</v>
      </c>
      <c r="M60">
        <f t="shared" si="4"/>
        <v>38.461538461538467</v>
      </c>
    </row>
    <row r="61" spans="1:13" x14ac:dyDescent="0.25">
      <c r="A61" t="s">
        <v>59</v>
      </c>
      <c r="B61">
        <v>8.2500000000000004E-2</v>
      </c>
      <c r="C61">
        <v>0.21210000000000001</v>
      </c>
      <c r="D61">
        <f t="shared" si="1"/>
        <v>0.12959999999999999</v>
      </c>
      <c r="G61">
        <v>7.85E-2</v>
      </c>
      <c r="H61">
        <v>0.1883</v>
      </c>
      <c r="I61" s="2">
        <f t="shared" si="2"/>
        <v>0.2283</v>
      </c>
      <c r="J61" s="2">
        <f t="shared" si="3"/>
        <v>0.14979999999999999</v>
      </c>
      <c r="M61">
        <f t="shared" si="4"/>
        <v>13.484646194926567</v>
      </c>
    </row>
    <row r="62" spans="1:13" x14ac:dyDescent="0.25">
      <c r="A62" t="s">
        <v>60</v>
      </c>
      <c r="B62">
        <v>8.0600000000000005E-2</v>
      </c>
      <c r="C62">
        <v>0.18099999999999999</v>
      </c>
      <c r="D62">
        <f t="shared" si="1"/>
        <v>0.10039999999999999</v>
      </c>
      <c r="G62">
        <v>7.9500000000000001E-2</v>
      </c>
      <c r="H62">
        <v>0.18990000000000001</v>
      </c>
      <c r="I62" s="2">
        <f t="shared" si="2"/>
        <v>0.22990000000000002</v>
      </c>
      <c r="J62" s="2">
        <f t="shared" si="3"/>
        <v>0.15040000000000003</v>
      </c>
      <c r="M62">
        <f t="shared" si="4"/>
        <v>33.244680851063855</v>
      </c>
    </row>
    <row r="63" spans="1:13" x14ac:dyDescent="0.25">
      <c r="A63" t="s">
        <v>61</v>
      </c>
      <c r="B63">
        <v>8.1699999999999995E-2</v>
      </c>
      <c r="C63">
        <v>0.15920000000000001</v>
      </c>
      <c r="D63">
        <f t="shared" si="1"/>
        <v>7.7500000000000013E-2</v>
      </c>
      <c r="G63">
        <v>7.9200000000000007E-2</v>
      </c>
      <c r="H63">
        <v>0.1651</v>
      </c>
      <c r="I63" s="2">
        <f t="shared" si="2"/>
        <v>0.2051</v>
      </c>
      <c r="J63" s="2">
        <f t="shared" si="3"/>
        <v>0.12590000000000001</v>
      </c>
      <c r="M63">
        <f t="shared" si="4"/>
        <v>38.443208895949162</v>
      </c>
    </row>
    <row r="64" spans="1:13" x14ac:dyDescent="0.25">
      <c r="A64" t="s">
        <v>62</v>
      </c>
      <c r="B64">
        <v>8.5099999999999995E-2</v>
      </c>
      <c r="C64">
        <v>0.2215</v>
      </c>
      <c r="D64">
        <f t="shared" si="1"/>
        <v>0.13640000000000002</v>
      </c>
      <c r="G64">
        <v>8.2799999999999999E-2</v>
      </c>
      <c r="H64">
        <v>0.20250000000000001</v>
      </c>
      <c r="I64" s="2">
        <f t="shared" si="2"/>
        <v>0.24250000000000002</v>
      </c>
      <c r="J64" s="2">
        <f t="shared" si="3"/>
        <v>0.15970000000000001</v>
      </c>
      <c r="M64">
        <f t="shared" si="4"/>
        <v>14.589855979962421</v>
      </c>
    </row>
    <row r="65" spans="1:13" x14ac:dyDescent="0.25">
      <c r="A65" t="s">
        <v>63</v>
      </c>
      <c r="B65">
        <v>8.4199999999999997E-2</v>
      </c>
      <c r="C65">
        <v>0.22470000000000001</v>
      </c>
      <c r="D65">
        <f t="shared" si="1"/>
        <v>0.14050000000000001</v>
      </c>
      <c r="G65">
        <v>8.2400000000000001E-2</v>
      </c>
      <c r="H65">
        <v>0.2102</v>
      </c>
      <c r="I65" s="2">
        <f t="shared" si="2"/>
        <v>0.25019999999999998</v>
      </c>
      <c r="J65" s="2">
        <f t="shared" si="3"/>
        <v>0.16779999999999998</v>
      </c>
      <c r="M65">
        <f t="shared" si="4"/>
        <v>16.269368295589967</v>
      </c>
    </row>
    <row r="66" spans="1:13" x14ac:dyDescent="0.25">
      <c r="A66" t="s">
        <v>64</v>
      </c>
      <c r="B66">
        <v>8.3500000000000005E-2</v>
      </c>
      <c r="C66">
        <v>0.23519999999999999</v>
      </c>
      <c r="D66">
        <f t="shared" si="1"/>
        <v>0.1517</v>
      </c>
      <c r="G66">
        <v>8.2600000000000007E-2</v>
      </c>
      <c r="H66">
        <v>0.21110000000000001</v>
      </c>
      <c r="I66" s="2">
        <f t="shared" si="2"/>
        <v>0.25109999999999999</v>
      </c>
      <c r="J66" s="2">
        <f t="shared" si="3"/>
        <v>0.16849999999999998</v>
      </c>
      <c r="M66">
        <f t="shared" ref="M66:M91" si="5">((J66-D66)/J66)*100</f>
        <v>9.9703264094955397</v>
      </c>
    </row>
    <row r="67" spans="1:13" x14ac:dyDescent="0.25">
      <c r="A67" t="s">
        <v>65</v>
      </c>
      <c r="B67">
        <v>8.1000000000000003E-2</v>
      </c>
      <c r="C67">
        <v>0.22359999999999999</v>
      </c>
      <c r="D67">
        <f t="shared" ref="D67:D97" si="6">(C67-B67)</f>
        <v>0.1426</v>
      </c>
      <c r="G67">
        <v>7.8600000000000003E-2</v>
      </c>
      <c r="H67">
        <v>0.21390000000000001</v>
      </c>
      <c r="I67" s="2">
        <f t="shared" ref="I67:I97" si="7">H67+0.04</f>
        <v>0.25390000000000001</v>
      </c>
      <c r="J67" s="2">
        <f t="shared" ref="J67:J97" si="8">(I67-G67)</f>
        <v>0.17530000000000001</v>
      </c>
      <c r="M67">
        <f t="shared" si="5"/>
        <v>18.653736451796924</v>
      </c>
    </row>
    <row r="68" spans="1:13" x14ac:dyDescent="0.25">
      <c r="A68" t="s">
        <v>66</v>
      </c>
      <c r="B68">
        <v>8.4000000000000005E-2</v>
      </c>
      <c r="C68">
        <v>0.13389999999999999</v>
      </c>
      <c r="D68">
        <f t="shared" si="6"/>
        <v>4.9899999999999986E-2</v>
      </c>
      <c r="G68">
        <v>8.1699999999999995E-2</v>
      </c>
      <c r="H68">
        <v>0.2102</v>
      </c>
      <c r="I68" s="2">
        <f t="shared" si="7"/>
        <v>0.25019999999999998</v>
      </c>
      <c r="J68" s="2">
        <f t="shared" si="8"/>
        <v>0.16849999999999998</v>
      </c>
      <c r="M68">
        <f t="shared" si="5"/>
        <v>70.385756676557861</v>
      </c>
    </row>
    <row r="69" spans="1:13" x14ac:dyDescent="0.25">
      <c r="A69" t="s">
        <v>67</v>
      </c>
      <c r="B69">
        <v>8.1500000000000003E-2</v>
      </c>
      <c r="C69">
        <v>0.13900000000000001</v>
      </c>
      <c r="D69">
        <f t="shared" si="6"/>
        <v>5.7500000000000009E-2</v>
      </c>
      <c r="G69">
        <v>0.08</v>
      </c>
      <c r="H69">
        <v>0.20469999999999999</v>
      </c>
      <c r="I69" s="2">
        <f t="shared" si="7"/>
        <v>0.2447</v>
      </c>
      <c r="J69" s="2">
        <f t="shared" si="8"/>
        <v>0.16470000000000001</v>
      </c>
      <c r="M69">
        <f t="shared" si="5"/>
        <v>65.088038858530666</v>
      </c>
    </row>
    <row r="70" spans="1:13" x14ac:dyDescent="0.25">
      <c r="A70" t="s">
        <v>68</v>
      </c>
      <c r="B70">
        <v>8.4199999999999997E-2</v>
      </c>
      <c r="C70">
        <v>0.19939999999999999</v>
      </c>
      <c r="D70">
        <f t="shared" si="6"/>
        <v>0.1152</v>
      </c>
      <c r="G70">
        <v>8.2400000000000001E-2</v>
      </c>
      <c r="H70">
        <v>0.17929999999999999</v>
      </c>
      <c r="I70" s="2">
        <f t="shared" si="7"/>
        <v>0.21929999999999999</v>
      </c>
      <c r="J70" s="2">
        <f t="shared" si="8"/>
        <v>0.13689999999999999</v>
      </c>
      <c r="M70">
        <f t="shared" si="5"/>
        <v>15.850986121256391</v>
      </c>
    </row>
    <row r="71" spans="1:13" x14ac:dyDescent="0.25">
      <c r="A71" t="s">
        <v>69</v>
      </c>
      <c r="B71">
        <v>8.3699999999999997E-2</v>
      </c>
      <c r="C71">
        <v>0.20019999999999999</v>
      </c>
      <c r="D71">
        <f t="shared" si="6"/>
        <v>0.11649999999999999</v>
      </c>
      <c r="G71">
        <v>7.85E-2</v>
      </c>
      <c r="H71">
        <v>0.1928</v>
      </c>
      <c r="I71" s="2">
        <f t="shared" si="7"/>
        <v>0.23280000000000001</v>
      </c>
      <c r="J71" s="2">
        <f t="shared" si="8"/>
        <v>0.15429999999999999</v>
      </c>
      <c r="M71">
        <f t="shared" si="5"/>
        <v>24.497731691510047</v>
      </c>
    </row>
    <row r="72" spans="1:13" x14ac:dyDescent="0.25">
      <c r="A72" t="s">
        <v>70</v>
      </c>
      <c r="B72">
        <v>8.1799999999999998E-2</v>
      </c>
      <c r="C72">
        <v>0.19539999999999999</v>
      </c>
      <c r="D72">
        <f t="shared" si="6"/>
        <v>0.11359999999999999</v>
      </c>
      <c r="G72">
        <v>8.2299999999999998E-2</v>
      </c>
      <c r="H72">
        <v>0.19950000000000001</v>
      </c>
      <c r="I72" s="2">
        <f t="shared" si="7"/>
        <v>0.23950000000000002</v>
      </c>
      <c r="J72" s="2">
        <f t="shared" si="8"/>
        <v>0.15720000000000001</v>
      </c>
      <c r="M72">
        <f t="shared" si="5"/>
        <v>27.735368956743013</v>
      </c>
    </row>
    <row r="73" spans="1:13" x14ac:dyDescent="0.25">
      <c r="A73" t="s">
        <v>71</v>
      </c>
      <c r="B73">
        <v>8.0199999999999994E-2</v>
      </c>
      <c r="C73">
        <v>0.21840000000000001</v>
      </c>
      <c r="D73">
        <f t="shared" si="6"/>
        <v>0.13820000000000002</v>
      </c>
      <c r="G73">
        <v>7.7799999999999994E-2</v>
      </c>
      <c r="H73">
        <v>0.19850000000000001</v>
      </c>
      <c r="I73" s="2">
        <f t="shared" si="7"/>
        <v>0.23850000000000002</v>
      </c>
      <c r="J73" s="2">
        <f t="shared" si="8"/>
        <v>0.16070000000000001</v>
      </c>
      <c r="M73">
        <f t="shared" si="5"/>
        <v>14.001244555071557</v>
      </c>
    </row>
    <row r="74" spans="1:13" x14ac:dyDescent="0.25">
      <c r="A74" t="s">
        <v>72</v>
      </c>
      <c r="B74">
        <v>8.0799999999999997E-2</v>
      </c>
      <c r="C74">
        <v>0.17319999999999999</v>
      </c>
      <c r="D74">
        <f t="shared" si="6"/>
        <v>9.2399999999999996E-2</v>
      </c>
      <c r="G74">
        <v>7.8399999999999997E-2</v>
      </c>
      <c r="H74">
        <v>0.20330000000000001</v>
      </c>
      <c r="I74" s="2">
        <f t="shared" si="7"/>
        <v>0.24330000000000002</v>
      </c>
      <c r="J74" s="2">
        <f t="shared" si="8"/>
        <v>0.16490000000000002</v>
      </c>
      <c r="M74">
        <f t="shared" si="5"/>
        <v>43.966040024257133</v>
      </c>
    </row>
    <row r="75" spans="1:13" x14ac:dyDescent="0.25">
      <c r="A75" t="s">
        <v>73</v>
      </c>
      <c r="B75">
        <v>8.14E-2</v>
      </c>
      <c r="C75">
        <v>0.1898</v>
      </c>
      <c r="D75">
        <f t="shared" si="6"/>
        <v>0.1084</v>
      </c>
      <c r="G75">
        <v>8.2299999999999998E-2</v>
      </c>
      <c r="H75">
        <v>0.19889999999999999</v>
      </c>
      <c r="I75" s="2">
        <f t="shared" si="7"/>
        <v>0.2389</v>
      </c>
      <c r="J75" s="2">
        <f t="shared" si="8"/>
        <v>0.15660000000000002</v>
      </c>
      <c r="M75">
        <f t="shared" si="5"/>
        <v>30.77905491698596</v>
      </c>
    </row>
    <row r="76" spans="1:13" x14ac:dyDescent="0.25">
      <c r="A76" t="s">
        <v>74</v>
      </c>
      <c r="B76">
        <v>8.48E-2</v>
      </c>
      <c r="C76">
        <v>0.18509999999999999</v>
      </c>
      <c r="D76">
        <f t="shared" si="6"/>
        <v>0.10029999999999999</v>
      </c>
      <c r="G76">
        <v>8.3799999999999999E-2</v>
      </c>
      <c r="H76">
        <v>0.19769999999999999</v>
      </c>
      <c r="I76" s="2">
        <f t="shared" si="7"/>
        <v>0.23769999999999999</v>
      </c>
      <c r="J76" s="2">
        <f t="shared" si="8"/>
        <v>0.15389999999999998</v>
      </c>
      <c r="M76">
        <f t="shared" si="5"/>
        <v>34.827810266406765</v>
      </c>
    </row>
    <row r="77" spans="1:13" x14ac:dyDescent="0.25">
      <c r="A77" t="s">
        <v>75</v>
      </c>
      <c r="B77">
        <v>8.2900000000000001E-2</v>
      </c>
      <c r="C77">
        <v>0.1467</v>
      </c>
      <c r="D77">
        <f t="shared" si="6"/>
        <v>6.3799999999999996E-2</v>
      </c>
      <c r="G77">
        <v>8.2299999999999998E-2</v>
      </c>
      <c r="H77">
        <v>0.20100000000000001</v>
      </c>
      <c r="I77" s="2">
        <f t="shared" si="7"/>
        <v>0.24100000000000002</v>
      </c>
      <c r="J77" s="2">
        <f t="shared" si="8"/>
        <v>0.15870000000000001</v>
      </c>
      <c r="M77">
        <f t="shared" si="5"/>
        <v>59.79836168872086</v>
      </c>
    </row>
    <row r="78" spans="1:13" x14ac:dyDescent="0.25">
      <c r="A78" t="s">
        <v>76</v>
      </c>
      <c r="B78">
        <v>8.1100000000000005E-2</v>
      </c>
      <c r="C78">
        <v>0.2263</v>
      </c>
      <c r="D78">
        <f t="shared" si="6"/>
        <v>0.1452</v>
      </c>
      <c r="G78">
        <v>8.1100000000000005E-2</v>
      </c>
      <c r="H78">
        <v>0.217</v>
      </c>
      <c r="I78" s="2">
        <f t="shared" si="7"/>
        <v>0.25700000000000001</v>
      </c>
      <c r="J78" s="2">
        <f t="shared" si="8"/>
        <v>0.1759</v>
      </c>
      <c r="M78">
        <f t="shared" si="5"/>
        <v>17.453098351335989</v>
      </c>
    </row>
    <row r="79" spans="1:13" x14ac:dyDescent="0.25">
      <c r="A79" t="s">
        <v>77</v>
      </c>
      <c r="B79">
        <v>7.85E-2</v>
      </c>
      <c r="C79">
        <v>0.18729999999999999</v>
      </c>
      <c r="D79">
        <f t="shared" si="6"/>
        <v>0.10879999999999999</v>
      </c>
      <c r="G79">
        <v>8.0799999999999997E-2</v>
      </c>
      <c r="H79">
        <v>0.19040000000000001</v>
      </c>
      <c r="I79" s="2">
        <f t="shared" si="7"/>
        <v>0.23040000000000002</v>
      </c>
      <c r="J79" s="2">
        <f t="shared" si="8"/>
        <v>0.14960000000000001</v>
      </c>
      <c r="M79">
        <f t="shared" si="5"/>
        <v>27.27272727272728</v>
      </c>
    </row>
    <row r="80" spans="1:13" x14ac:dyDescent="0.25">
      <c r="A80" t="s">
        <v>78</v>
      </c>
      <c r="B80">
        <v>7.8899999999999998E-2</v>
      </c>
      <c r="C80">
        <v>0.17019999999999999</v>
      </c>
      <c r="D80">
        <f t="shared" si="6"/>
        <v>9.1299999999999992E-2</v>
      </c>
      <c r="G80">
        <v>7.8200000000000006E-2</v>
      </c>
      <c r="H80">
        <v>0.1951</v>
      </c>
      <c r="I80" s="2">
        <f t="shared" si="7"/>
        <v>0.2351</v>
      </c>
      <c r="J80" s="2">
        <f t="shared" si="8"/>
        <v>0.15689999999999998</v>
      </c>
      <c r="M80">
        <f t="shared" si="5"/>
        <v>41.810070108349265</v>
      </c>
    </row>
    <row r="81" spans="1:13" x14ac:dyDescent="0.25">
      <c r="A81" t="s">
        <v>79</v>
      </c>
      <c r="B81">
        <v>8.2900000000000001E-2</v>
      </c>
      <c r="C81">
        <v>0.18410000000000001</v>
      </c>
      <c r="D81">
        <f t="shared" si="6"/>
        <v>0.10120000000000001</v>
      </c>
      <c r="G81">
        <v>8.0199999999999994E-2</v>
      </c>
      <c r="H81">
        <v>0.2077</v>
      </c>
      <c r="I81" s="2">
        <f t="shared" si="7"/>
        <v>0.2477</v>
      </c>
      <c r="J81" s="2">
        <f t="shared" si="8"/>
        <v>0.16750000000000001</v>
      </c>
      <c r="M81">
        <f t="shared" si="5"/>
        <v>39.582089552238806</v>
      </c>
    </row>
    <row r="82" spans="1:13" x14ac:dyDescent="0.25">
      <c r="A82" t="s">
        <v>80</v>
      </c>
      <c r="B82">
        <v>8.0199999999999994E-2</v>
      </c>
      <c r="C82">
        <v>0.1847</v>
      </c>
      <c r="D82">
        <f t="shared" si="6"/>
        <v>0.10450000000000001</v>
      </c>
      <c r="G82">
        <v>7.9000000000000001E-2</v>
      </c>
      <c r="H82">
        <v>0.21010000000000001</v>
      </c>
      <c r="I82" s="2">
        <f t="shared" si="7"/>
        <v>0.25009999999999999</v>
      </c>
      <c r="J82" s="2">
        <f t="shared" si="8"/>
        <v>0.17109999999999997</v>
      </c>
      <c r="M82">
        <f t="shared" si="5"/>
        <v>38.924605493863226</v>
      </c>
    </row>
    <row r="83" spans="1:13" x14ac:dyDescent="0.25">
      <c r="A83" t="s">
        <v>81</v>
      </c>
      <c r="B83">
        <v>7.9600000000000004E-2</v>
      </c>
      <c r="C83">
        <v>0.13700000000000001</v>
      </c>
      <c r="D83">
        <f t="shared" si="6"/>
        <v>5.7400000000000007E-2</v>
      </c>
      <c r="G83">
        <v>7.7100000000000002E-2</v>
      </c>
      <c r="H83">
        <v>0.1666</v>
      </c>
      <c r="I83" s="2">
        <f t="shared" si="7"/>
        <v>0.20660000000000001</v>
      </c>
      <c r="J83" s="2">
        <f t="shared" si="8"/>
        <v>0.1295</v>
      </c>
      <c r="M83">
        <f t="shared" si="5"/>
        <v>55.67567567567567</v>
      </c>
    </row>
    <row r="84" spans="1:13" x14ac:dyDescent="0.25">
      <c r="A84" t="s">
        <v>82</v>
      </c>
      <c r="B84">
        <v>8.09E-2</v>
      </c>
      <c r="C84">
        <v>0.19869999999999999</v>
      </c>
      <c r="D84">
        <f t="shared" si="6"/>
        <v>0.11779999999999999</v>
      </c>
      <c r="G84">
        <v>8.5699999999999998E-2</v>
      </c>
      <c r="H84">
        <v>0.19839999999999999</v>
      </c>
      <c r="I84" s="2">
        <f t="shared" si="7"/>
        <v>0.2384</v>
      </c>
      <c r="J84" s="2">
        <f t="shared" si="8"/>
        <v>0.1527</v>
      </c>
      <c r="M84">
        <f t="shared" si="5"/>
        <v>22.855271774721686</v>
      </c>
    </row>
    <row r="85" spans="1:13" x14ac:dyDescent="0.25">
      <c r="A85" t="s">
        <v>83</v>
      </c>
      <c r="B85">
        <v>8.0100000000000005E-2</v>
      </c>
      <c r="C85">
        <v>0.20580000000000001</v>
      </c>
      <c r="D85">
        <f t="shared" si="6"/>
        <v>0.12570000000000001</v>
      </c>
      <c r="G85">
        <v>7.9799999999999996E-2</v>
      </c>
      <c r="H85">
        <v>0.19400000000000001</v>
      </c>
      <c r="I85" s="2">
        <f t="shared" si="7"/>
        <v>0.23400000000000001</v>
      </c>
      <c r="J85" s="2">
        <f t="shared" si="8"/>
        <v>0.1542</v>
      </c>
      <c r="M85">
        <f t="shared" si="5"/>
        <v>18.482490272373539</v>
      </c>
    </row>
    <row r="86" spans="1:13" x14ac:dyDescent="0.25">
      <c r="A86" t="s">
        <v>84</v>
      </c>
      <c r="B86">
        <v>8.09E-2</v>
      </c>
      <c r="C86">
        <v>0.17580000000000001</v>
      </c>
      <c r="D86">
        <f t="shared" si="6"/>
        <v>9.4900000000000012E-2</v>
      </c>
      <c r="G86">
        <v>7.9600000000000004E-2</v>
      </c>
      <c r="H86">
        <v>0.1895</v>
      </c>
      <c r="I86" s="2">
        <f t="shared" si="7"/>
        <v>0.22950000000000001</v>
      </c>
      <c r="J86" s="2">
        <f t="shared" si="8"/>
        <v>0.14990000000000001</v>
      </c>
      <c r="M86">
        <f t="shared" si="5"/>
        <v>36.691127418278846</v>
      </c>
    </row>
    <row r="87" spans="1:13" x14ac:dyDescent="0.25">
      <c r="A87" t="s">
        <v>85</v>
      </c>
      <c r="B87">
        <v>8.1100000000000005E-2</v>
      </c>
      <c r="C87">
        <v>0.14899999999999999</v>
      </c>
      <c r="D87">
        <f t="shared" si="6"/>
        <v>6.7899999999999988E-2</v>
      </c>
      <c r="G87">
        <v>7.8299999999999995E-2</v>
      </c>
      <c r="H87">
        <v>0.1411</v>
      </c>
      <c r="I87" s="2">
        <f t="shared" si="7"/>
        <v>0.18110000000000001</v>
      </c>
      <c r="J87" s="2">
        <f t="shared" si="8"/>
        <v>0.10280000000000002</v>
      </c>
      <c r="M87">
        <f t="shared" si="5"/>
        <v>33.949416342412476</v>
      </c>
    </row>
    <row r="88" spans="1:13" x14ac:dyDescent="0.25">
      <c r="A88" t="s">
        <v>86</v>
      </c>
      <c r="B88">
        <v>8.1799999999999998E-2</v>
      </c>
      <c r="C88">
        <v>0.1678</v>
      </c>
      <c r="D88">
        <f t="shared" si="6"/>
        <v>8.6000000000000007E-2</v>
      </c>
      <c r="G88">
        <v>9.0200000000000002E-2</v>
      </c>
      <c r="H88">
        <v>0.1583</v>
      </c>
      <c r="I88" s="2">
        <f t="shared" si="7"/>
        <v>0.1983</v>
      </c>
      <c r="J88" s="2">
        <f t="shared" si="8"/>
        <v>0.1081</v>
      </c>
      <c r="M88">
        <f t="shared" si="5"/>
        <v>20.444033302497683</v>
      </c>
    </row>
    <row r="89" spans="1:13" x14ac:dyDescent="0.25">
      <c r="A89" t="s">
        <v>87</v>
      </c>
      <c r="B89">
        <v>8.2600000000000007E-2</v>
      </c>
      <c r="C89">
        <v>0.182</v>
      </c>
      <c r="D89">
        <f t="shared" si="6"/>
        <v>9.9399999999999988E-2</v>
      </c>
      <c r="G89">
        <v>8.0600000000000005E-2</v>
      </c>
      <c r="H89">
        <v>0.20119999999999999</v>
      </c>
      <c r="I89" s="2">
        <f t="shared" si="7"/>
        <v>0.2412</v>
      </c>
      <c r="J89" s="2">
        <f t="shared" si="8"/>
        <v>0.16059999999999999</v>
      </c>
      <c r="M89">
        <f t="shared" si="5"/>
        <v>38.107098381070983</v>
      </c>
    </row>
    <row r="90" spans="1:13" x14ac:dyDescent="0.25">
      <c r="A90" t="s">
        <v>88</v>
      </c>
      <c r="B90">
        <v>7.8600000000000003E-2</v>
      </c>
      <c r="C90">
        <v>7.8899999999999998E-2</v>
      </c>
      <c r="D90">
        <f t="shared" si="6"/>
        <v>2.9999999999999472E-4</v>
      </c>
      <c r="G90">
        <v>7.8E-2</v>
      </c>
      <c r="H90">
        <v>7.9200000000000007E-2</v>
      </c>
      <c r="I90" s="2">
        <f t="shared" si="7"/>
        <v>0.1192</v>
      </c>
      <c r="J90" s="2">
        <f t="shared" si="8"/>
        <v>4.1200000000000001E-2</v>
      </c>
      <c r="M90">
        <f t="shared" si="5"/>
        <v>99.271844660194191</v>
      </c>
    </row>
    <row r="91" spans="1:13" x14ac:dyDescent="0.25">
      <c r="A91" t="s">
        <v>89</v>
      </c>
      <c r="B91">
        <v>8.0299999999999996E-2</v>
      </c>
      <c r="C91">
        <v>7.9600000000000004E-2</v>
      </c>
      <c r="D91">
        <f t="shared" si="6"/>
        <v>-6.999999999999923E-4</v>
      </c>
      <c r="G91">
        <v>8.4000000000000005E-2</v>
      </c>
      <c r="H91">
        <v>8.0799999999999997E-2</v>
      </c>
      <c r="I91" s="2">
        <f t="shared" si="7"/>
        <v>0.12079999999999999</v>
      </c>
      <c r="J91" s="2">
        <f t="shared" si="8"/>
        <v>3.6799999999999986E-2</v>
      </c>
      <c r="M91">
        <f t="shared" si="5"/>
        <v>101.90217391304346</v>
      </c>
    </row>
    <row r="92" spans="1:13" x14ac:dyDescent="0.25">
      <c r="A92" t="s">
        <v>90</v>
      </c>
      <c r="B92">
        <v>8.0199999999999994E-2</v>
      </c>
      <c r="C92">
        <v>7.8399999999999997E-2</v>
      </c>
      <c r="D92">
        <f t="shared" si="6"/>
        <v>-1.799999999999996E-3</v>
      </c>
      <c r="G92">
        <v>7.9000000000000001E-2</v>
      </c>
      <c r="H92">
        <v>7.9000000000000001E-2</v>
      </c>
      <c r="I92" s="2">
        <f t="shared" si="7"/>
        <v>0.11899999999999999</v>
      </c>
      <c r="J92" s="2">
        <f t="shared" si="8"/>
        <v>3.9999999999999994E-2</v>
      </c>
      <c r="M92">
        <v>100</v>
      </c>
    </row>
    <row r="93" spans="1:13" x14ac:dyDescent="0.25">
      <c r="A93" t="s">
        <v>91</v>
      </c>
      <c r="B93">
        <v>0.08</v>
      </c>
      <c r="C93">
        <v>7.8799999999999995E-2</v>
      </c>
      <c r="D93">
        <f t="shared" si="6"/>
        <v>-1.2000000000000066E-3</v>
      </c>
      <c r="G93">
        <v>7.3700000000000002E-2</v>
      </c>
      <c r="H93">
        <v>7.9600000000000004E-2</v>
      </c>
      <c r="I93" s="2">
        <f t="shared" si="7"/>
        <v>0.11960000000000001</v>
      </c>
      <c r="J93" s="2">
        <f t="shared" si="8"/>
        <v>4.590000000000001E-2</v>
      </c>
      <c r="M93">
        <f>((J93-D93)/J93)*100</f>
        <v>102.61437908496734</v>
      </c>
    </row>
    <row r="94" spans="1:13" x14ac:dyDescent="0.25">
      <c r="A94" t="s">
        <v>92</v>
      </c>
      <c r="B94">
        <v>7.8E-2</v>
      </c>
      <c r="C94">
        <v>8.0699999999999994E-2</v>
      </c>
      <c r="D94">
        <f t="shared" si="6"/>
        <v>2.6999999999999941E-3</v>
      </c>
      <c r="G94">
        <v>7.9299999999999995E-2</v>
      </c>
      <c r="H94">
        <v>7.9600000000000004E-2</v>
      </c>
      <c r="I94" s="2">
        <f t="shared" si="7"/>
        <v>0.11960000000000001</v>
      </c>
      <c r="J94" s="2">
        <f t="shared" si="8"/>
        <v>4.0300000000000016E-2</v>
      </c>
      <c r="M94">
        <f>((J94-D94)/J94)*100</f>
        <v>93.300248138957826</v>
      </c>
    </row>
    <row r="95" spans="1:13" x14ac:dyDescent="0.25">
      <c r="A95" t="s">
        <v>93</v>
      </c>
      <c r="B95">
        <v>7.9600000000000004E-2</v>
      </c>
      <c r="C95">
        <v>7.8E-2</v>
      </c>
      <c r="D95">
        <f t="shared" si="6"/>
        <v>-1.6000000000000042E-3</v>
      </c>
      <c r="G95">
        <v>7.6799999999999993E-2</v>
      </c>
      <c r="H95">
        <v>7.8899999999999998E-2</v>
      </c>
      <c r="I95" s="2">
        <f t="shared" si="7"/>
        <v>0.11890000000000001</v>
      </c>
      <c r="J95" s="2">
        <f t="shared" si="8"/>
        <v>4.2100000000000012E-2</v>
      </c>
      <c r="M95">
        <f>((J95-D95)/J95)*100</f>
        <v>103.80047505938244</v>
      </c>
    </row>
    <row r="96" spans="1:13" x14ac:dyDescent="0.25">
      <c r="A96" t="s">
        <v>94</v>
      </c>
      <c r="B96">
        <v>8.0600000000000005E-2</v>
      </c>
      <c r="C96">
        <v>8.6099999999999996E-2</v>
      </c>
      <c r="D96">
        <f t="shared" si="6"/>
        <v>5.499999999999991E-3</v>
      </c>
      <c r="G96">
        <v>7.8E-2</v>
      </c>
      <c r="H96">
        <v>0.1699</v>
      </c>
      <c r="I96" s="2">
        <f t="shared" si="7"/>
        <v>0.2099</v>
      </c>
      <c r="J96" s="2">
        <f t="shared" si="8"/>
        <v>0.13190000000000002</v>
      </c>
      <c r="M96">
        <f>((J96-D96)/J96)*100</f>
        <v>95.830174374526152</v>
      </c>
    </row>
    <row r="97" spans="1:13" x14ac:dyDescent="0.25">
      <c r="A97" t="s">
        <v>95</v>
      </c>
      <c r="B97">
        <v>8.1900000000000001E-2</v>
      </c>
      <c r="C97">
        <v>9.1600000000000001E-2</v>
      </c>
      <c r="D97">
        <f t="shared" si="6"/>
        <v>9.7000000000000003E-3</v>
      </c>
      <c r="G97">
        <v>7.7200000000000005E-2</v>
      </c>
      <c r="H97">
        <v>0.18909999999999999</v>
      </c>
      <c r="I97" s="2">
        <f t="shared" si="7"/>
        <v>0.2291</v>
      </c>
      <c r="J97" s="2">
        <f t="shared" si="8"/>
        <v>0.15189999999999998</v>
      </c>
      <c r="M97">
        <f>((J97-D97)/J97)*100</f>
        <v>93.614219881500986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7"/>
  <sheetViews>
    <sheetView workbookViewId="0">
      <selection activeCell="I1" sqref="I1:I65536"/>
    </sheetView>
  </sheetViews>
  <sheetFormatPr defaultRowHeight="15" x14ac:dyDescent="0.25"/>
  <cols>
    <col min="9" max="9" width="9.140625" style="2"/>
  </cols>
  <sheetData>
    <row r="1" spans="1:12" x14ac:dyDescent="0.25">
      <c r="A1" t="s">
        <v>99</v>
      </c>
      <c r="B1" t="s">
        <v>96</v>
      </c>
      <c r="C1" t="s">
        <v>97</v>
      </c>
      <c r="D1" t="s">
        <v>101</v>
      </c>
      <c r="F1" t="s">
        <v>100</v>
      </c>
      <c r="G1" t="s">
        <v>96</v>
      </c>
      <c r="H1" t="s">
        <v>97</v>
      </c>
      <c r="I1" s="2" t="s">
        <v>375</v>
      </c>
      <c r="J1" t="s">
        <v>101</v>
      </c>
      <c r="L1" t="s">
        <v>102</v>
      </c>
    </row>
    <row r="2" spans="1:12" x14ac:dyDescent="0.25">
      <c r="A2" t="s">
        <v>0</v>
      </c>
      <c r="B2">
        <v>8.43E-2</v>
      </c>
      <c r="C2">
        <v>0.21779999999999999</v>
      </c>
      <c r="D2">
        <f>(C2-B2)</f>
        <v>0.13350000000000001</v>
      </c>
      <c r="G2">
        <v>8.1100000000000005E-2</v>
      </c>
      <c r="H2">
        <v>0.19750000000000001</v>
      </c>
      <c r="I2" s="2">
        <f>H2+0.04</f>
        <v>0.23750000000000002</v>
      </c>
      <c r="J2">
        <f>(I2-G2)</f>
        <v>0.15640000000000001</v>
      </c>
      <c r="L2">
        <f t="shared" ref="L2:L33" si="0">((J2-D2)/J2)*100</f>
        <v>14.641943734015348</v>
      </c>
    </row>
    <row r="3" spans="1:12" x14ac:dyDescent="0.25">
      <c r="A3" t="s">
        <v>1</v>
      </c>
      <c r="B3">
        <v>8.0100000000000005E-2</v>
      </c>
      <c r="C3">
        <v>0.25840000000000002</v>
      </c>
      <c r="D3">
        <f t="shared" ref="D3:D66" si="1">(C3-B3)</f>
        <v>0.17830000000000001</v>
      </c>
      <c r="G3">
        <v>7.8799999999999995E-2</v>
      </c>
      <c r="H3">
        <v>0.22339999999999999</v>
      </c>
      <c r="I3" s="2">
        <f t="shared" ref="I3:I66" si="2">H3+0.04</f>
        <v>0.26339999999999997</v>
      </c>
      <c r="J3" s="2">
        <f t="shared" ref="J3:J66" si="3">(I3-G3)</f>
        <v>0.18459999999999999</v>
      </c>
      <c r="L3">
        <f t="shared" si="0"/>
        <v>3.4127843986998774</v>
      </c>
    </row>
    <row r="4" spans="1:12" x14ac:dyDescent="0.25">
      <c r="A4" t="s">
        <v>2</v>
      </c>
      <c r="B4">
        <v>7.9799999999999996E-2</v>
      </c>
      <c r="C4">
        <v>0.25750000000000001</v>
      </c>
      <c r="D4">
        <f t="shared" si="1"/>
        <v>0.17770000000000002</v>
      </c>
      <c r="G4">
        <v>8.0199999999999994E-2</v>
      </c>
      <c r="H4">
        <v>0.23080000000000001</v>
      </c>
      <c r="I4" s="2">
        <f t="shared" si="2"/>
        <v>0.27079999999999999</v>
      </c>
      <c r="J4" s="2">
        <f t="shared" si="3"/>
        <v>0.19059999999999999</v>
      </c>
      <c r="L4">
        <f t="shared" si="0"/>
        <v>6.7681007345225437</v>
      </c>
    </row>
    <row r="5" spans="1:12" x14ac:dyDescent="0.25">
      <c r="A5" t="s">
        <v>3</v>
      </c>
      <c r="B5">
        <v>7.9500000000000001E-2</v>
      </c>
      <c r="C5">
        <v>0.2389</v>
      </c>
      <c r="D5">
        <f t="shared" si="1"/>
        <v>0.15939999999999999</v>
      </c>
      <c r="G5">
        <v>7.9799999999999996E-2</v>
      </c>
      <c r="H5">
        <v>0.21390000000000001</v>
      </c>
      <c r="I5" s="2">
        <f t="shared" si="2"/>
        <v>0.25390000000000001</v>
      </c>
      <c r="J5" s="2">
        <f t="shared" si="3"/>
        <v>0.17410000000000003</v>
      </c>
      <c r="L5">
        <f t="shared" si="0"/>
        <v>8.4434233199310995</v>
      </c>
    </row>
    <row r="6" spans="1:12" x14ac:dyDescent="0.25">
      <c r="A6" t="s">
        <v>4</v>
      </c>
      <c r="B6">
        <v>8.1600000000000006E-2</v>
      </c>
      <c r="C6">
        <v>0.25490000000000002</v>
      </c>
      <c r="D6">
        <f t="shared" si="1"/>
        <v>0.17330000000000001</v>
      </c>
      <c r="G6">
        <v>7.9600000000000004E-2</v>
      </c>
      <c r="H6">
        <v>0.22939999999999999</v>
      </c>
      <c r="I6" s="2">
        <f t="shared" si="2"/>
        <v>0.26939999999999997</v>
      </c>
      <c r="J6" s="2">
        <f t="shared" si="3"/>
        <v>0.18979999999999997</v>
      </c>
      <c r="L6">
        <f t="shared" si="0"/>
        <v>8.6933614330874409</v>
      </c>
    </row>
    <row r="7" spans="1:12" x14ac:dyDescent="0.25">
      <c r="A7" t="s">
        <v>5</v>
      </c>
      <c r="B7">
        <v>8.0299999999999996E-2</v>
      </c>
      <c r="C7">
        <v>0.25159999999999999</v>
      </c>
      <c r="D7">
        <f t="shared" si="1"/>
        <v>0.17130000000000001</v>
      </c>
      <c r="G7">
        <v>8.1699999999999995E-2</v>
      </c>
      <c r="H7">
        <v>0.21260000000000001</v>
      </c>
      <c r="I7" s="2">
        <f t="shared" si="2"/>
        <v>0.25259999999999999</v>
      </c>
      <c r="J7" s="2">
        <f t="shared" si="3"/>
        <v>0.1709</v>
      </c>
      <c r="L7">
        <f t="shared" si="0"/>
        <v>-0.23405500292569426</v>
      </c>
    </row>
    <row r="8" spans="1:12" x14ac:dyDescent="0.25">
      <c r="A8" t="s">
        <v>6</v>
      </c>
      <c r="B8">
        <v>8.2900000000000001E-2</v>
      </c>
      <c r="C8">
        <v>0.17710000000000001</v>
      </c>
      <c r="D8">
        <f t="shared" si="1"/>
        <v>9.4200000000000006E-2</v>
      </c>
      <c r="G8">
        <v>7.8E-2</v>
      </c>
      <c r="H8">
        <v>0.17829999999999999</v>
      </c>
      <c r="I8" s="2">
        <f t="shared" si="2"/>
        <v>0.21829999999999999</v>
      </c>
      <c r="J8" s="2">
        <f t="shared" si="3"/>
        <v>0.14029999999999998</v>
      </c>
      <c r="L8">
        <f t="shared" si="0"/>
        <v>32.858161083392716</v>
      </c>
    </row>
    <row r="9" spans="1:12" x14ac:dyDescent="0.25">
      <c r="A9" t="s">
        <v>7</v>
      </c>
      <c r="B9">
        <v>8.2799999999999999E-2</v>
      </c>
      <c r="C9">
        <v>0.21490000000000001</v>
      </c>
      <c r="D9">
        <f t="shared" si="1"/>
        <v>0.1321</v>
      </c>
      <c r="G9">
        <v>8.0199999999999994E-2</v>
      </c>
      <c r="H9">
        <v>0.20499999999999999</v>
      </c>
      <c r="I9" s="2">
        <f t="shared" si="2"/>
        <v>0.245</v>
      </c>
      <c r="J9" s="2">
        <f t="shared" si="3"/>
        <v>0.1648</v>
      </c>
      <c r="L9">
        <f t="shared" si="0"/>
        <v>19.842233009708742</v>
      </c>
    </row>
    <row r="10" spans="1:12" x14ac:dyDescent="0.25">
      <c r="A10" t="s">
        <v>8</v>
      </c>
      <c r="B10">
        <v>8.1900000000000001E-2</v>
      </c>
      <c r="C10">
        <v>0.24390000000000001</v>
      </c>
      <c r="D10">
        <f t="shared" si="1"/>
        <v>0.16200000000000001</v>
      </c>
      <c r="G10">
        <v>7.9200000000000007E-2</v>
      </c>
      <c r="H10">
        <v>0.2185</v>
      </c>
      <c r="I10" s="2">
        <f t="shared" si="2"/>
        <v>0.25850000000000001</v>
      </c>
      <c r="J10" s="2">
        <f t="shared" si="3"/>
        <v>0.17930000000000001</v>
      </c>
      <c r="L10">
        <f t="shared" si="0"/>
        <v>9.6486335750139478</v>
      </c>
    </row>
    <row r="11" spans="1:12" x14ac:dyDescent="0.25">
      <c r="A11" t="s">
        <v>9</v>
      </c>
      <c r="B11">
        <v>9.0399999999999994E-2</v>
      </c>
      <c r="C11">
        <v>0.1983</v>
      </c>
      <c r="D11">
        <f t="shared" si="1"/>
        <v>0.10790000000000001</v>
      </c>
      <c r="G11">
        <v>7.8299999999999995E-2</v>
      </c>
      <c r="H11">
        <v>0.1981</v>
      </c>
      <c r="I11" s="2">
        <f t="shared" si="2"/>
        <v>0.23810000000000001</v>
      </c>
      <c r="J11" s="2">
        <f t="shared" si="3"/>
        <v>0.1598</v>
      </c>
      <c r="L11">
        <f t="shared" si="0"/>
        <v>32.478097622027526</v>
      </c>
    </row>
    <row r="12" spans="1:12" x14ac:dyDescent="0.25">
      <c r="A12" t="s">
        <v>10</v>
      </c>
      <c r="B12">
        <v>8.2000000000000003E-2</v>
      </c>
      <c r="C12">
        <v>0.19670000000000001</v>
      </c>
      <c r="D12">
        <f t="shared" si="1"/>
        <v>0.11470000000000001</v>
      </c>
      <c r="G12">
        <v>0.08</v>
      </c>
      <c r="H12">
        <v>0.19769999999999999</v>
      </c>
      <c r="I12" s="2">
        <f t="shared" si="2"/>
        <v>0.23769999999999999</v>
      </c>
      <c r="J12" s="2">
        <f t="shared" si="3"/>
        <v>0.15770000000000001</v>
      </c>
      <c r="L12">
        <f t="shared" si="0"/>
        <v>27.266962587190864</v>
      </c>
    </row>
    <row r="13" spans="1:12" x14ac:dyDescent="0.25">
      <c r="A13" t="s">
        <v>11</v>
      </c>
      <c r="B13">
        <v>8.5500000000000007E-2</v>
      </c>
      <c r="C13">
        <v>0.2155</v>
      </c>
      <c r="D13">
        <f t="shared" si="1"/>
        <v>0.13</v>
      </c>
      <c r="G13">
        <v>8.6800000000000002E-2</v>
      </c>
      <c r="H13">
        <v>0.19969999999999999</v>
      </c>
      <c r="I13" s="2">
        <f t="shared" si="2"/>
        <v>0.2397</v>
      </c>
      <c r="J13" s="2">
        <f t="shared" si="3"/>
        <v>0.15289999999999998</v>
      </c>
      <c r="L13">
        <f t="shared" si="0"/>
        <v>14.977109221713524</v>
      </c>
    </row>
    <row r="14" spans="1:12" x14ac:dyDescent="0.25">
      <c r="A14" t="s">
        <v>12</v>
      </c>
      <c r="B14">
        <v>8.3199999999999996E-2</v>
      </c>
      <c r="C14">
        <v>0.19</v>
      </c>
      <c r="D14">
        <f t="shared" si="1"/>
        <v>0.10680000000000001</v>
      </c>
      <c r="G14">
        <v>8.48E-2</v>
      </c>
      <c r="H14">
        <v>0.2137</v>
      </c>
      <c r="I14" s="2">
        <f t="shared" si="2"/>
        <v>0.25369999999999998</v>
      </c>
      <c r="J14" s="2">
        <f t="shared" si="3"/>
        <v>0.16889999999999999</v>
      </c>
      <c r="L14">
        <f t="shared" si="0"/>
        <v>36.767317939609228</v>
      </c>
    </row>
    <row r="15" spans="1:12" x14ac:dyDescent="0.25">
      <c r="A15" t="s">
        <v>13</v>
      </c>
      <c r="B15">
        <v>7.4499999999999997E-2</v>
      </c>
      <c r="C15">
        <v>0.1905</v>
      </c>
      <c r="D15">
        <f t="shared" si="1"/>
        <v>0.11600000000000001</v>
      </c>
      <c r="G15">
        <v>7.6899999999999996E-2</v>
      </c>
      <c r="H15">
        <v>0.21679999999999999</v>
      </c>
      <c r="I15" s="2">
        <f t="shared" si="2"/>
        <v>0.25679999999999997</v>
      </c>
      <c r="J15" s="2">
        <f t="shared" si="3"/>
        <v>0.17989999999999998</v>
      </c>
      <c r="L15">
        <f t="shared" si="0"/>
        <v>35.519733185102822</v>
      </c>
    </row>
    <row r="16" spans="1:12" x14ac:dyDescent="0.25">
      <c r="A16" t="s">
        <v>14</v>
      </c>
      <c r="B16">
        <v>7.7399999999999997E-2</v>
      </c>
      <c r="C16">
        <v>0.1754</v>
      </c>
      <c r="D16">
        <f t="shared" si="1"/>
        <v>9.8000000000000004E-2</v>
      </c>
      <c r="G16">
        <v>8.14E-2</v>
      </c>
      <c r="H16">
        <v>0.21540000000000001</v>
      </c>
      <c r="I16" s="2">
        <f t="shared" si="2"/>
        <v>0.25540000000000002</v>
      </c>
      <c r="J16" s="2">
        <f t="shared" si="3"/>
        <v>0.17400000000000002</v>
      </c>
      <c r="L16">
        <f t="shared" si="0"/>
        <v>43.678160919540232</v>
      </c>
    </row>
    <row r="17" spans="1:12" x14ac:dyDescent="0.25">
      <c r="A17" t="s">
        <v>15</v>
      </c>
      <c r="B17">
        <v>8.2100000000000006E-2</v>
      </c>
      <c r="C17">
        <v>0.19009999999999999</v>
      </c>
      <c r="D17">
        <f t="shared" si="1"/>
        <v>0.10799999999999998</v>
      </c>
      <c r="G17">
        <v>7.9100000000000004E-2</v>
      </c>
      <c r="H17">
        <v>0.2034</v>
      </c>
      <c r="I17" s="2">
        <f t="shared" si="2"/>
        <v>0.24340000000000001</v>
      </c>
      <c r="J17" s="2">
        <f t="shared" si="3"/>
        <v>0.1643</v>
      </c>
      <c r="L17">
        <f t="shared" si="0"/>
        <v>34.266585514303117</v>
      </c>
    </row>
    <row r="18" spans="1:12" x14ac:dyDescent="0.25">
      <c r="A18" t="s">
        <v>16</v>
      </c>
      <c r="B18">
        <v>8.2900000000000001E-2</v>
      </c>
      <c r="C18">
        <v>0.21440000000000001</v>
      </c>
      <c r="D18">
        <f t="shared" si="1"/>
        <v>0.13150000000000001</v>
      </c>
      <c r="G18">
        <v>7.9500000000000001E-2</v>
      </c>
      <c r="H18">
        <v>0.221</v>
      </c>
      <c r="I18" s="2">
        <f t="shared" si="2"/>
        <v>0.26100000000000001</v>
      </c>
      <c r="J18" s="2">
        <f t="shared" si="3"/>
        <v>0.18149999999999999</v>
      </c>
      <c r="L18">
        <f t="shared" si="0"/>
        <v>27.54820936639118</v>
      </c>
    </row>
    <row r="19" spans="1:12" x14ac:dyDescent="0.25">
      <c r="A19" t="s">
        <v>17</v>
      </c>
      <c r="B19">
        <v>8.2600000000000007E-2</v>
      </c>
      <c r="C19">
        <v>0.17469999999999999</v>
      </c>
      <c r="D19">
        <f t="shared" si="1"/>
        <v>9.2099999999999987E-2</v>
      </c>
      <c r="G19">
        <v>7.9100000000000004E-2</v>
      </c>
      <c r="H19">
        <v>0.16880000000000001</v>
      </c>
      <c r="I19" s="2">
        <f t="shared" si="2"/>
        <v>0.20880000000000001</v>
      </c>
      <c r="J19" s="2">
        <f t="shared" si="3"/>
        <v>0.12970000000000001</v>
      </c>
      <c r="L19">
        <f t="shared" si="0"/>
        <v>28.989976869699319</v>
      </c>
    </row>
    <row r="20" spans="1:12" x14ac:dyDescent="0.25">
      <c r="A20" t="s">
        <v>18</v>
      </c>
      <c r="B20">
        <v>8.2299999999999998E-2</v>
      </c>
      <c r="C20">
        <v>0.26019999999999999</v>
      </c>
      <c r="D20">
        <f t="shared" si="1"/>
        <v>0.1779</v>
      </c>
      <c r="G20">
        <v>8.14E-2</v>
      </c>
      <c r="H20">
        <v>0.21679999999999999</v>
      </c>
      <c r="I20" s="2">
        <f t="shared" si="2"/>
        <v>0.25679999999999997</v>
      </c>
      <c r="J20" s="2">
        <f t="shared" si="3"/>
        <v>0.17539999999999997</v>
      </c>
      <c r="L20">
        <f t="shared" si="0"/>
        <v>-1.4253135689851941</v>
      </c>
    </row>
    <row r="21" spans="1:12" x14ac:dyDescent="0.25">
      <c r="A21" t="s">
        <v>19</v>
      </c>
      <c r="B21">
        <v>8.09E-2</v>
      </c>
      <c r="C21">
        <v>0.15029999999999999</v>
      </c>
      <c r="D21">
        <f t="shared" si="1"/>
        <v>6.9399999999999989E-2</v>
      </c>
      <c r="G21">
        <v>7.9299999999999995E-2</v>
      </c>
      <c r="H21">
        <v>0.21290000000000001</v>
      </c>
      <c r="I21" s="2">
        <f t="shared" si="2"/>
        <v>0.25290000000000001</v>
      </c>
      <c r="J21" s="2">
        <f t="shared" si="3"/>
        <v>0.17360000000000003</v>
      </c>
      <c r="L21">
        <f t="shared" si="0"/>
        <v>60.023041474654391</v>
      </c>
    </row>
    <row r="22" spans="1:12" x14ac:dyDescent="0.25">
      <c r="A22" t="s">
        <v>20</v>
      </c>
      <c r="B22">
        <v>8.1199999999999994E-2</v>
      </c>
      <c r="C22">
        <v>0.24490000000000001</v>
      </c>
      <c r="D22">
        <f t="shared" si="1"/>
        <v>0.16370000000000001</v>
      </c>
      <c r="G22">
        <v>8.1299999999999997E-2</v>
      </c>
      <c r="H22">
        <v>0.2082</v>
      </c>
      <c r="I22" s="2">
        <f t="shared" si="2"/>
        <v>0.2482</v>
      </c>
      <c r="J22" s="2">
        <f t="shared" si="3"/>
        <v>0.16689999999999999</v>
      </c>
      <c r="L22">
        <f t="shared" si="0"/>
        <v>1.9173157579388742</v>
      </c>
    </row>
    <row r="23" spans="1:12" x14ac:dyDescent="0.25">
      <c r="A23" t="s">
        <v>21</v>
      </c>
      <c r="B23">
        <v>8.5599999999999996E-2</v>
      </c>
      <c r="C23">
        <v>0.20419999999999999</v>
      </c>
      <c r="D23">
        <f t="shared" si="1"/>
        <v>0.1186</v>
      </c>
      <c r="G23">
        <v>7.8399999999999997E-2</v>
      </c>
      <c r="H23">
        <v>0.20749999999999999</v>
      </c>
      <c r="I23" s="2">
        <f t="shared" si="2"/>
        <v>0.2475</v>
      </c>
      <c r="J23" s="2">
        <f t="shared" si="3"/>
        <v>0.1691</v>
      </c>
      <c r="L23">
        <f t="shared" si="0"/>
        <v>29.863985807214664</v>
      </c>
    </row>
    <row r="24" spans="1:12" x14ac:dyDescent="0.25">
      <c r="A24" t="s">
        <v>22</v>
      </c>
      <c r="B24">
        <v>8.7499999999999994E-2</v>
      </c>
      <c r="C24">
        <v>0.2243</v>
      </c>
      <c r="D24">
        <f t="shared" si="1"/>
        <v>0.1368</v>
      </c>
      <c r="G24">
        <v>0.08</v>
      </c>
      <c r="H24">
        <v>0.22650000000000001</v>
      </c>
      <c r="I24" s="2">
        <f t="shared" si="2"/>
        <v>0.26650000000000001</v>
      </c>
      <c r="J24" s="2">
        <f t="shared" si="3"/>
        <v>0.1865</v>
      </c>
      <c r="L24">
        <f t="shared" si="0"/>
        <v>26.648793565683643</v>
      </c>
    </row>
    <row r="25" spans="1:12" x14ac:dyDescent="0.25">
      <c r="A25" t="s">
        <v>23</v>
      </c>
      <c r="B25">
        <v>8.5300000000000001E-2</v>
      </c>
      <c r="C25">
        <v>0.1961</v>
      </c>
      <c r="D25">
        <f t="shared" si="1"/>
        <v>0.1108</v>
      </c>
      <c r="G25">
        <v>7.85E-2</v>
      </c>
      <c r="H25">
        <v>0.2089</v>
      </c>
      <c r="I25" s="2">
        <f t="shared" si="2"/>
        <v>0.24890000000000001</v>
      </c>
      <c r="J25" s="2">
        <f t="shared" si="3"/>
        <v>0.1704</v>
      </c>
      <c r="L25">
        <f t="shared" si="0"/>
        <v>34.97652582159624</v>
      </c>
    </row>
    <row r="26" spans="1:12" x14ac:dyDescent="0.25">
      <c r="A26" t="s">
        <v>24</v>
      </c>
      <c r="B26">
        <v>8.3000000000000004E-2</v>
      </c>
      <c r="C26">
        <v>0.1605</v>
      </c>
      <c r="D26">
        <f t="shared" si="1"/>
        <v>7.7499999999999999E-2</v>
      </c>
      <c r="G26">
        <v>8.0500000000000002E-2</v>
      </c>
      <c r="H26">
        <v>0.1724</v>
      </c>
      <c r="I26" s="2">
        <f t="shared" si="2"/>
        <v>0.21240000000000001</v>
      </c>
      <c r="J26" s="2">
        <f t="shared" si="3"/>
        <v>0.13190000000000002</v>
      </c>
      <c r="L26">
        <f t="shared" si="0"/>
        <v>41.243366186504936</v>
      </c>
    </row>
    <row r="27" spans="1:12" x14ac:dyDescent="0.25">
      <c r="A27" t="s">
        <v>25</v>
      </c>
      <c r="B27">
        <v>7.9699999999999993E-2</v>
      </c>
      <c r="C27">
        <v>0.193</v>
      </c>
      <c r="D27">
        <f t="shared" si="1"/>
        <v>0.11330000000000001</v>
      </c>
      <c r="G27">
        <v>7.8E-2</v>
      </c>
      <c r="H27">
        <v>0.17899999999999999</v>
      </c>
      <c r="I27" s="2">
        <f t="shared" si="2"/>
        <v>0.219</v>
      </c>
      <c r="J27" s="2">
        <f t="shared" si="3"/>
        <v>0.14100000000000001</v>
      </c>
      <c r="L27">
        <f t="shared" si="0"/>
        <v>19.645390070921987</v>
      </c>
    </row>
    <row r="28" spans="1:12" x14ac:dyDescent="0.25">
      <c r="A28" t="s">
        <v>26</v>
      </c>
      <c r="B28">
        <v>8.5199999999999998E-2</v>
      </c>
      <c r="C28">
        <v>0.22800000000000001</v>
      </c>
      <c r="D28">
        <f t="shared" si="1"/>
        <v>0.14280000000000001</v>
      </c>
      <c r="G28">
        <v>8.2000000000000003E-2</v>
      </c>
      <c r="H28">
        <v>0.2036</v>
      </c>
      <c r="I28" s="2">
        <f t="shared" si="2"/>
        <v>0.24360000000000001</v>
      </c>
      <c r="J28" s="2">
        <f t="shared" si="3"/>
        <v>0.16160000000000002</v>
      </c>
      <c r="L28">
        <f t="shared" si="0"/>
        <v>11.633663366336638</v>
      </c>
    </row>
    <row r="29" spans="1:12" x14ac:dyDescent="0.25">
      <c r="A29" t="s">
        <v>27</v>
      </c>
      <c r="B29">
        <v>8.14E-2</v>
      </c>
      <c r="C29">
        <v>0.18190000000000001</v>
      </c>
      <c r="D29">
        <f t="shared" si="1"/>
        <v>0.10050000000000001</v>
      </c>
      <c r="G29">
        <v>7.8799999999999995E-2</v>
      </c>
      <c r="H29">
        <v>0.19719999999999999</v>
      </c>
      <c r="I29" s="2">
        <f t="shared" si="2"/>
        <v>0.23719999999999999</v>
      </c>
      <c r="J29" s="2">
        <f t="shared" si="3"/>
        <v>0.15839999999999999</v>
      </c>
      <c r="L29">
        <f t="shared" si="0"/>
        <v>36.55303030303029</v>
      </c>
    </row>
    <row r="30" spans="1:12" x14ac:dyDescent="0.25">
      <c r="A30" t="s">
        <v>28</v>
      </c>
      <c r="B30">
        <v>8.43E-2</v>
      </c>
      <c r="C30">
        <v>0.24379999999999999</v>
      </c>
      <c r="D30">
        <f t="shared" si="1"/>
        <v>0.15949999999999998</v>
      </c>
      <c r="G30">
        <v>7.8299999999999995E-2</v>
      </c>
      <c r="H30">
        <v>0.20860000000000001</v>
      </c>
      <c r="I30" s="2">
        <f t="shared" si="2"/>
        <v>0.24860000000000002</v>
      </c>
      <c r="J30" s="2">
        <f t="shared" si="3"/>
        <v>0.17030000000000001</v>
      </c>
      <c r="L30">
        <f t="shared" si="0"/>
        <v>6.3417498532002528</v>
      </c>
    </row>
    <row r="31" spans="1:12" x14ac:dyDescent="0.25">
      <c r="A31" t="s">
        <v>29</v>
      </c>
      <c r="B31">
        <v>8.5000000000000006E-2</v>
      </c>
      <c r="C31">
        <v>0.2452</v>
      </c>
      <c r="D31">
        <f t="shared" si="1"/>
        <v>0.16020000000000001</v>
      </c>
      <c r="G31">
        <v>8.1699999999999995E-2</v>
      </c>
      <c r="H31">
        <v>0.21659999999999999</v>
      </c>
      <c r="I31" s="2">
        <f t="shared" si="2"/>
        <v>0.25659999999999999</v>
      </c>
      <c r="J31" s="2">
        <f t="shared" si="3"/>
        <v>0.1749</v>
      </c>
      <c r="L31">
        <f t="shared" si="0"/>
        <v>8.4048027444253819</v>
      </c>
    </row>
    <row r="32" spans="1:12" x14ac:dyDescent="0.25">
      <c r="A32" t="s">
        <v>30</v>
      </c>
      <c r="B32">
        <v>7.9600000000000004E-2</v>
      </c>
      <c r="C32">
        <v>8.1699999999999995E-2</v>
      </c>
      <c r="D32">
        <f t="shared" si="1"/>
        <v>2.0999999999999908E-3</v>
      </c>
      <c r="G32">
        <v>8.09E-2</v>
      </c>
      <c r="H32">
        <v>8.2500000000000004E-2</v>
      </c>
      <c r="I32" s="2">
        <f t="shared" si="2"/>
        <v>0.1225</v>
      </c>
      <c r="J32" s="2">
        <f t="shared" si="3"/>
        <v>4.1599999999999998E-2</v>
      </c>
      <c r="L32">
        <f t="shared" si="0"/>
        <v>94.951923076923094</v>
      </c>
    </row>
    <row r="33" spans="1:12" x14ac:dyDescent="0.25">
      <c r="A33" t="s">
        <v>31</v>
      </c>
      <c r="B33">
        <v>8.4000000000000005E-2</v>
      </c>
      <c r="C33">
        <v>0.1996</v>
      </c>
      <c r="D33">
        <f t="shared" si="1"/>
        <v>0.11559999999999999</v>
      </c>
      <c r="G33">
        <v>8.1199999999999994E-2</v>
      </c>
      <c r="H33">
        <v>0.21049999999999999</v>
      </c>
      <c r="I33" s="2">
        <f t="shared" si="2"/>
        <v>0.2505</v>
      </c>
      <c r="J33" s="2">
        <f t="shared" si="3"/>
        <v>0.16930000000000001</v>
      </c>
      <c r="L33">
        <f t="shared" si="0"/>
        <v>31.718842291789727</v>
      </c>
    </row>
    <row r="34" spans="1:12" x14ac:dyDescent="0.25">
      <c r="A34" t="s">
        <v>32</v>
      </c>
      <c r="B34">
        <v>8.4400000000000003E-2</v>
      </c>
      <c r="C34">
        <v>0.20599999999999999</v>
      </c>
      <c r="D34">
        <f t="shared" si="1"/>
        <v>0.12159999999999999</v>
      </c>
      <c r="G34">
        <v>8.1299999999999997E-2</v>
      </c>
      <c r="H34">
        <v>0.1948</v>
      </c>
      <c r="I34" s="2">
        <f t="shared" si="2"/>
        <v>0.23480000000000001</v>
      </c>
      <c r="J34" s="2">
        <f t="shared" si="3"/>
        <v>0.15350000000000003</v>
      </c>
      <c r="L34">
        <f t="shared" ref="L34:L65" si="4">((J34-D34)/J34)*100</f>
        <v>20.781758957654745</v>
      </c>
    </row>
    <row r="35" spans="1:12" x14ac:dyDescent="0.25">
      <c r="A35" t="s">
        <v>33</v>
      </c>
      <c r="B35">
        <v>8.7400000000000005E-2</v>
      </c>
      <c r="C35">
        <v>0.2402</v>
      </c>
      <c r="D35">
        <f t="shared" si="1"/>
        <v>0.15279999999999999</v>
      </c>
      <c r="G35">
        <v>8.4199999999999997E-2</v>
      </c>
      <c r="H35">
        <v>0.20849999999999999</v>
      </c>
      <c r="I35" s="2">
        <f t="shared" si="2"/>
        <v>0.2485</v>
      </c>
      <c r="J35" s="2">
        <f t="shared" si="3"/>
        <v>0.1643</v>
      </c>
      <c r="L35">
        <f t="shared" si="4"/>
        <v>6.9993913572732867</v>
      </c>
    </row>
    <row r="36" spans="1:12" x14ac:dyDescent="0.25">
      <c r="A36" t="s">
        <v>34</v>
      </c>
      <c r="B36">
        <v>8.3000000000000004E-2</v>
      </c>
      <c r="C36">
        <v>0.20910000000000001</v>
      </c>
      <c r="D36">
        <f t="shared" si="1"/>
        <v>0.12609999999999999</v>
      </c>
      <c r="G36">
        <v>8.5099999999999995E-2</v>
      </c>
      <c r="H36">
        <v>0.1925</v>
      </c>
      <c r="I36" s="2">
        <f t="shared" si="2"/>
        <v>0.23250000000000001</v>
      </c>
      <c r="J36" s="2">
        <f t="shared" si="3"/>
        <v>0.14740000000000003</v>
      </c>
      <c r="L36">
        <f t="shared" si="4"/>
        <v>14.450474898236118</v>
      </c>
    </row>
    <row r="37" spans="1:12" x14ac:dyDescent="0.25">
      <c r="A37" t="s">
        <v>35</v>
      </c>
      <c r="B37">
        <v>8.2500000000000004E-2</v>
      </c>
      <c r="C37">
        <v>0.2424</v>
      </c>
      <c r="D37">
        <f t="shared" si="1"/>
        <v>0.15989999999999999</v>
      </c>
      <c r="G37">
        <v>7.8600000000000003E-2</v>
      </c>
      <c r="H37">
        <v>0.21590000000000001</v>
      </c>
      <c r="I37" s="2">
        <f t="shared" si="2"/>
        <v>0.25590000000000002</v>
      </c>
      <c r="J37" s="2">
        <f t="shared" si="3"/>
        <v>0.17730000000000001</v>
      </c>
      <c r="L37">
        <f t="shared" si="4"/>
        <v>9.8138747884940933</v>
      </c>
    </row>
    <row r="38" spans="1:12" x14ac:dyDescent="0.25">
      <c r="A38" t="s">
        <v>36</v>
      </c>
      <c r="B38">
        <v>8.0600000000000005E-2</v>
      </c>
      <c r="C38">
        <v>0.21099999999999999</v>
      </c>
      <c r="D38">
        <f t="shared" si="1"/>
        <v>0.13039999999999999</v>
      </c>
      <c r="G38">
        <v>8.2199999999999995E-2</v>
      </c>
      <c r="H38">
        <v>0.22059999999999999</v>
      </c>
      <c r="I38" s="2">
        <f t="shared" si="2"/>
        <v>0.2606</v>
      </c>
      <c r="J38" s="2">
        <f t="shared" si="3"/>
        <v>0.1784</v>
      </c>
      <c r="L38">
        <f t="shared" si="4"/>
        <v>26.905829596412563</v>
      </c>
    </row>
    <row r="39" spans="1:12" x14ac:dyDescent="0.25">
      <c r="A39" t="s">
        <v>37</v>
      </c>
      <c r="B39">
        <v>8.1100000000000005E-2</v>
      </c>
      <c r="C39">
        <v>0.2225</v>
      </c>
      <c r="D39">
        <f t="shared" si="1"/>
        <v>0.1414</v>
      </c>
      <c r="G39">
        <v>8.0199999999999994E-2</v>
      </c>
      <c r="H39">
        <v>0.20830000000000001</v>
      </c>
      <c r="I39" s="2">
        <f t="shared" si="2"/>
        <v>0.24830000000000002</v>
      </c>
      <c r="J39" s="2">
        <f t="shared" si="3"/>
        <v>0.16810000000000003</v>
      </c>
      <c r="L39">
        <f t="shared" si="4"/>
        <v>15.883402736466405</v>
      </c>
    </row>
    <row r="40" spans="1:12" x14ac:dyDescent="0.25">
      <c r="A40" t="s">
        <v>38</v>
      </c>
      <c r="B40">
        <v>8.3400000000000002E-2</v>
      </c>
      <c r="C40">
        <v>0.22600000000000001</v>
      </c>
      <c r="D40">
        <f t="shared" si="1"/>
        <v>0.1426</v>
      </c>
      <c r="G40">
        <v>7.9299999999999995E-2</v>
      </c>
      <c r="H40">
        <v>0.2147</v>
      </c>
      <c r="I40" s="2">
        <f t="shared" si="2"/>
        <v>0.25469999999999998</v>
      </c>
      <c r="J40" s="2">
        <f t="shared" si="3"/>
        <v>0.1754</v>
      </c>
      <c r="L40">
        <f t="shared" si="4"/>
        <v>18.700114025085515</v>
      </c>
    </row>
    <row r="41" spans="1:12" x14ac:dyDescent="0.25">
      <c r="A41" t="s">
        <v>39</v>
      </c>
      <c r="B41">
        <v>8.4900000000000003E-2</v>
      </c>
      <c r="C41">
        <v>0.21379999999999999</v>
      </c>
      <c r="D41">
        <f t="shared" si="1"/>
        <v>0.12889999999999999</v>
      </c>
      <c r="G41">
        <v>8.2299999999999998E-2</v>
      </c>
      <c r="H41">
        <v>0.20630000000000001</v>
      </c>
      <c r="I41" s="2">
        <f t="shared" si="2"/>
        <v>0.24630000000000002</v>
      </c>
      <c r="J41" s="2">
        <f t="shared" si="3"/>
        <v>0.16400000000000003</v>
      </c>
      <c r="L41">
        <f t="shared" si="4"/>
        <v>21.402439024390269</v>
      </c>
    </row>
    <row r="42" spans="1:12" x14ac:dyDescent="0.25">
      <c r="A42" t="s">
        <v>40</v>
      </c>
      <c r="B42">
        <v>8.5900000000000004E-2</v>
      </c>
      <c r="C42">
        <v>0.22459999999999999</v>
      </c>
      <c r="D42">
        <f t="shared" si="1"/>
        <v>0.13869999999999999</v>
      </c>
      <c r="G42">
        <v>8.0600000000000005E-2</v>
      </c>
      <c r="H42">
        <v>0.22220000000000001</v>
      </c>
      <c r="I42" s="2">
        <f t="shared" si="2"/>
        <v>0.26219999999999999</v>
      </c>
      <c r="J42" s="2">
        <f t="shared" si="3"/>
        <v>0.18159999999999998</v>
      </c>
      <c r="L42">
        <f t="shared" si="4"/>
        <v>23.623348017621144</v>
      </c>
    </row>
    <row r="43" spans="1:12" x14ac:dyDescent="0.25">
      <c r="A43" t="s">
        <v>41</v>
      </c>
      <c r="B43">
        <v>8.0799999999999997E-2</v>
      </c>
      <c r="C43">
        <v>0.22209999999999999</v>
      </c>
      <c r="D43">
        <f t="shared" si="1"/>
        <v>0.14129999999999998</v>
      </c>
      <c r="G43">
        <v>7.6899999999999996E-2</v>
      </c>
      <c r="H43">
        <v>0.20399999999999999</v>
      </c>
      <c r="I43" s="2">
        <f t="shared" si="2"/>
        <v>0.24399999999999999</v>
      </c>
      <c r="J43" s="2">
        <f t="shared" si="3"/>
        <v>0.1671</v>
      </c>
      <c r="L43">
        <f t="shared" si="4"/>
        <v>15.439856373429095</v>
      </c>
    </row>
    <row r="44" spans="1:12" x14ac:dyDescent="0.25">
      <c r="A44" t="s">
        <v>42</v>
      </c>
      <c r="B44">
        <v>8.1500000000000003E-2</v>
      </c>
      <c r="C44">
        <v>0.19550000000000001</v>
      </c>
      <c r="D44">
        <f t="shared" si="1"/>
        <v>0.114</v>
      </c>
      <c r="G44">
        <v>7.9600000000000004E-2</v>
      </c>
      <c r="H44">
        <v>0.17610000000000001</v>
      </c>
      <c r="I44" s="2">
        <f t="shared" si="2"/>
        <v>0.21610000000000001</v>
      </c>
      <c r="J44" s="2">
        <f t="shared" si="3"/>
        <v>0.13650000000000001</v>
      </c>
      <c r="L44">
        <f t="shared" si="4"/>
        <v>16.483516483516485</v>
      </c>
    </row>
    <row r="45" spans="1:12" x14ac:dyDescent="0.25">
      <c r="A45" t="s">
        <v>43</v>
      </c>
      <c r="B45">
        <v>7.8899999999999998E-2</v>
      </c>
      <c r="C45">
        <v>0.2049</v>
      </c>
      <c r="D45">
        <f t="shared" si="1"/>
        <v>0.126</v>
      </c>
      <c r="G45">
        <v>7.9500000000000001E-2</v>
      </c>
      <c r="H45">
        <v>0.21010000000000001</v>
      </c>
      <c r="I45" s="2">
        <f t="shared" si="2"/>
        <v>0.25009999999999999</v>
      </c>
      <c r="J45" s="2">
        <f t="shared" si="3"/>
        <v>0.17059999999999997</v>
      </c>
      <c r="L45">
        <f t="shared" si="4"/>
        <v>26.143024618991785</v>
      </c>
    </row>
    <row r="46" spans="1:12" x14ac:dyDescent="0.25">
      <c r="A46" t="s">
        <v>44</v>
      </c>
      <c r="B46">
        <v>8.2199999999999995E-2</v>
      </c>
      <c r="C46">
        <v>0.22989999999999999</v>
      </c>
      <c r="D46">
        <f t="shared" si="1"/>
        <v>0.1477</v>
      </c>
      <c r="G46">
        <v>8.2199999999999995E-2</v>
      </c>
      <c r="H46">
        <v>0.2099</v>
      </c>
      <c r="I46" s="2">
        <f t="shared" si="2"/>
        <v>0.24990000000000001</v>
      </c>
      <c r="J46" s="2">
        <f t="shared" si="3"/>
        <v>0.16770000000000002</v>
      </c>
      <c r="L46">
        <f t="shared" si="4"/>
        <v>11.926058437686354</v>
      </c>
    </row>
    <row r="47" spans="1:12" x14ac:dyDescent="0.25">
      <c r="A47" t="s">
        <v>45</v>
      </c>
      <c r="B47">
        <v>8.2400000000000001E-2</v>
      </c>
      <c r="C47">
        <v>0.09</v>
      </c>
      <c r="D47">
        <f t="shared" si="1"/>
        <v>7.5999999999999956E-3</v>
      </c>
      <c r="G47">
        <v>7.9699999999999993E-2</v>
      </c>
      <c r="H47">
        <v>0.12570000000000001</v>
      </c>
      <c r="I47" s="2">
        <f t="shared" si="2"/>
        <v>0.16570000000000001</v>
      </c>
      <c r="J47" s="2">
        <f t="shared" si="3"/>
        <v>8.6000000000000021E-2</v>
      </c>
      <c r="L47">
        <f t="shared" si="4"/>
        <v>91.162790697674424</v>
      </c>
    </row>
    <row r="48" spans="1:12" x14ac:dyDescent="0.25">
      <c r="A48" t="s">
        <v>46</v>
      </c>
      <c r="B48">
        <v>8.3799999999999999E-2</v>
      </c>
      <c r="C48">
        <v>0.2152</v>
      </c>
      <c r="D48">
        <f t="shared" si="1"/>
        <v>0.13140000000000002</v>
      </c>
      <c r="G48">
        <v>8.2699999999999996E-2</v>
      </c>
      <c r="H48">
        <v>0.21329999999999999</v>
      </c>
      <c r="I48" s="2">
        <f t="shared" si="2"/>
        <v>0.25329999999999997</v>
      </c>
      <c r="J48" s="2">
        <f t="shared" si="3"/>
        <v>0.17059999999999997</v>
      </c>
      <c r="L48">
        <f t="shared" si="4"/>
        <v>22.97772567409142</v>
      </c>
    </row>
    <row r="49" spans="1:12" x14ac:dyDescent="0.25">
      <c r="A49" t="s">
        <v>47</v>
      </c>
      <c r="B49">
        <v>8.2000000000000003E-2</v>
      </c>
      <c r="C49">
        <v>0.1709</v>
      </c>
      <c r="D49">
        <f t="shared" si="1"/>
        <v>8.8899999999999993E-2</v>
      </c>
      <c r="G49">
        <v>8.0699999999999994E-2</v>
      </c>
      <c r="H49">
        <v>0.17230000000000001</v>
      </c>
      <c r="I49" s="2">
        <f t="shared" si="2"/>
        <v>0.21230000000000002</v>
      </c>
      <c r="J49" s="2">
        <f t="shared" si="3"/>
        <v>0.13160000000000002</v>
      </c>
      <c r="L49">
        <f t="shared" si="4"/>
        <v>32.446808510638313</v>
      </c>
    </row>
    <row r="50" spans="1:12" x14ac:dyDescent="0.25">
      <c r="A50" t="s">
        <v>48</v>
      </c>
      <c r="B50">
        <v>7.9100000000000004E-2</v>
      </c>
      <c r="C50">
        <v>0.23069999999999999</v>
      </c>
      <c r="D50">
        <f t="shared" si="1"/>
        <v>0.15159999999999998</v>
      </c>
      <c r="G50">
        <v>8.09E-2</v>
      </c>
      <c r="H50">
        <v>0.20849999999999999</v>
      </c>
      <c r="I50" s="2">
        <f t="shared" si="2"/>
        <v>0.2485</v>
      </c>
      <c r="J50" s="2">
        <f t="shared" si="3"/>
        <v>0.1676</v>
      </c>
      <c r="L50">
        <f t="shared" si="4"/>
        <v>9.5465393794749485</v>
      </c>
    </row>
    <row r="51" spans="1:12" x14ac:dyDescent="0.25">
      <c r="A51" t="s">
        <v>49</v>
      </c>
      <c r="B51">
        <v>8.43E-2</v>
      </c>
      <c r="C51">
        <v>0.2316</v>
      </c>
      <c r="D51">
        <f t="shared" si="1"/>
        <v>0.14729999999999999</v>
      </c>
      <c r="G51">
        <v>7.9600000000000004E-2</v>
      </c>
      <c r="H51">
        <v>0.2137</v>
      </c>
      <c r="I51" s="2">
        <f t="shared" si="2"/>
        <v>0.25369999999999998</v>
      </c>
      <c r="J51" s="2">
        <f t="shared" si="3"/>
        <v>0.17409999999999998</v>
      </c>
      <c r="L51">
        <f t="shared" si="4"/>
        <v>15.393452039058008</v>
      </c>
    </row>
    <row r="52" spans="1:12" x14ac:dyDescent="0.25">
      <c r="A52" t="s">
        <v>50</v>
      </c>
      <c r="B52">
        <v>8.3500000000000005E-2</v>
      </c>
      <c r="C52">
        <v>0.23930000000000001</v>
      </c>
      <c r="D52">
        <f t="shared" si="1"/>
        <v>0.15579999999999999</v>
      </c>
      <c r="G52">
        <v>8.3500000000000005E-2</v>
      </c>
      <c r="H52">
        <v>0.21049999999999999</v>
      </c>
      <c r="I52" s="2">
        <f t="shared" si="2"/>
        <v>0.2505</v>
      </c>
      <c r="J52" s="2">
        <f t="shared" si="3"/>
        <v>0.16699999999999998</v>
      </c>
      <c r="L52">
        <f t="shared" si="4"/>
        <v>6.7065868263472996</v>
      </c>
    </row>
    <row r="53" spans="1:12" x14ac:dyDescent="0.25">
      <c r="A53" t="s">
        <v>51</v>
      </c>
      <c r="B53">
        <v>8.2699999999999996E-2</v>
      </c>
      <c r="C53">
        <v>0.21490000000000001</v>
      </c>
      <c r="D53">
        <f t="shared" si="1"/>
        <v>0.13220000000000001</v>
      </c>
      <c r="G53">
        <v>8.3400000000000002E-2</v>
      </c>
      <c r="H53">
        <v>0.20549999999999999</v>
      </c>
      <c r="I53" s="2">
        <f t="shared" si="2"/>
        <v>0.2455</v>
      </c>
      <c r="J53" s="2">
        <f t="shared" si="3"/>
        <v>0.16209999999999999</v>
      </c>
      <c r="L53">
        <f t="shared" si="4"/>
        <v>18.445404071560755</v>
      </c>
    </row>
    <row r="54" spans="1:12" x14ac:dyDescent="0.25">
      <c r="A54" t="s">
        <v>52</v>
      </c>
      <c r="B54">
        <v>8.5699999999999998E-2</v>
      </c>
      <c r="C54">
        <v>0.22700000000000001</v>
      </c>
      <c r="D54">
        <f t="shared" si="1"/>
        <v>0.14130000000000001</v>
      </c>
      <c r="G54">
        <v>7.9299999999999995E-2</v>
      </c>
      <c r="H54">
        <v>0.2089</v>
      </c>
      <c r="I54" s="2">
        <f t="shared" si="2"/>
        <v>0.24890000000000001</v>
      </c>
      <c r="J54" s="2">
        <f t="shared" si="3"/>
        <v>0.16960000000000003</v>
      </c>
      <c r="L54">
        <f t="shared" si="4"/>
        <v>16.686320754716991</v>
      </c>
    </row>
    <row r="55" spans="1:12" x14ac:dyDescent="0.25">
      <c r="A55" t="s">
        <v>53</v>
      </c>
      <c r="B55">
        <v>7.8100000000000003E-2</v>
      </c>
      <c r="C55">
        <v>0.18640000000000001</v>
      </c>
      <c r="D55">
        <f t="shared" si="1"/>
        <v>0.10830000000000001</v>
      </c>
      <c r="G55">
        <v>7.5800000000000006E-2</v>
      </c>
      <c r="H55">
        <v>0.20849999999999999</v>
      </c>
      <c r="I55" s="2">
        <f t="shared" si="2"/>
        <v>0.2485</v>
      </c>
      <c r="J55" s="2">
        <f t="shared" si="3"/>
        <v>0.17269999999999999</v>
      </c>
      <c r="L55">
        <f t="shared" si="4"/>
        <v>37.290098436595244</v>
      </c>
    </row>
    <row r="56" spans="1:12" x14ac:dyDescent="0.25">
      <c r="A56" t="s">
        <v>54</v>
      </c>
      <c r="B56">
        <v>8.1500000000000003E-2</v>
      </c>
      <c r="C56">
        <v>0.20080000000000001</v>
      </c>
      <c r="D56">
        <f t="shared" si="1"/>
        <v>0.1193</v>
      </c>
      <c r="G56">
        <v>8.0199999999999994E-2</v>
      </c>
      <c r="H56">
        <v>0.2046</v>
      </c>
      <c r="I56" s="2">
        <f t="shared" si="2"/>
        <v>0.24460000000000001</v>
      </c>
      <c r="J56" s="2">
        <f t="shared" si="3"/>
        <v>0.16440000000000002</v>
      </c>
      <c r="L56">
        <f t="shared" si="4"/>
        <v>27.433090024330909</v>
      </c>
    </row>
    <row r="57" spans="1:12" x14ac:dyDescent="0.25">
      <c r="A57" t="s">
        <v>55</v>
      </c>
      <c r="B57">
        <v>8.2799999999999999E-2</v>
      </c>
      <c r="C57">
        <v>0.2397</v>
      </c>
      <c r="D57">
        <f t="shared" si="1"/>
        <v>0.15689999999999998</v>
      </c>
      <c r="G57">
        <v>7.9000000000000001E-2</v>
      </c>
      <c r="H57">
        <v>0.2064</v>
      </c>
      <c r="I57" s="2">
        <f t="shared" si="2"/>
        <v>0.24640000000000001</v>
      </c>
      <c r="J57" s="2">
        <f t="shared" si="3"/>
        <v>0.16739999999999999</v>
      </c>
      <c r="L57">
        <f t="shared" si="4"/>
        <v>6.2724014336917628</v>
      </c>
    </row>
    <row r="58" spans="1:12" x14ac:dyDescent="0.25">
      <c r="A58" t="s">
        <v>56</v>
      </c>
      <c r="B58">
        <v>8.0600000000000005E-2</v>
      </c>
      <c r="C58">
        <v>0.21049999999999999</v>
      </c>
      <c r="D58">
        <f t="shared" si="1"/>
        <v>0.12989999999999999</v>
      </c>
      <c r="G58">
        <v>8.48E-2</v>
      </c>
      <c r="H58">
        <v>0.2054</v>
      </c>
      <c r="I58" s="2">
        <f t="shared" si="2"/>
        <v>0.24540000000000001</v>
      </c>
      <c r="J58" s="2">
        <f t="shared" si="3"/>
        <v>0.16060000000000002</v>
      </c>
      <c r="L58">
        <f t="shared" si="4"/>
        <v>19.115815691158176</v>
      </c>
    </row>
    <row r="59" spans="1:12" x14ac:dyDescent="0.25">
      <c r="A59" t="s">
        <v>57</v>
      </c>
      <c r="B59">
        <v>8.0600000000000005E-2</v>
      </c>
      <c r="C59">
        <v>0.1812</v>
      </c>
      <c r="D59">
        <f t="shared" si="1"/>
        <v>0.10059999999999999</v>
      </c>
      <c r="G59">
        <v>7.8299999999999995E-2</v>
      </c>
      <c r="H59">
        <v>0.19550000000000001</v>
      </c>
      <c r="I59" s="2">
        <f t="shared" si="2"/>
        <v>0.23550000000000001</v>
      </c>
      <c r="J59" s="2">
        <f t="shared" si="3"/>
        <v>0.15720000000000001</v>
      </c>
      <c r="L59">
        <f t="shared" si="4"/>
        <v>36.005089058524185</v>
      </c>
    </row>
    <row r="60" spans="1:12" x14ac:dyDescent="0.25">
      <c r="A60" t="s">
        <v>58</v>
      </c>
      <c r="B60">
        <v>7.9299999999999995E-2</v>
      </c>
      <c r="C60">
        <v>0.1784</v>
      </c>
      <c r="D60">
        <f t="shared" si="1"/>
        <v>9.9100000000000008E-2</v>
      </c>
      <c r="G60">
        <v>7.9299999999999995E-2</v>
      </c>
      <c r="H60">
        <v>0.16950000000000001</v>
      </c>
      <c r="I60" s="2">
        <f t="shared" si="2"/>
        <v>0.20950000000000002</v>
      </c>
      <c r="J60" s="2">
        <f t="shared" si="3"/>
        <v>0.13020000000000004</v>
      </c>
      <c r="L60">
        <f t="shared" si="4"/>
        <v>23.886328725038418</v>
      </c>
    </row>
    <row r="61" spans="1:12" x14ac:dyDescent="0.25">
      <c r="A61" t="s">
        <v>59</v>
      </c>
      <c r="B61">
        <v>8.3400000000000002E-2</v>
      </c>
      <c r="C61">
        <v>0.22559999999999999</v>
      </c>
      <c r="D61">
        <f t="shared" si="1"/>
        <v>0.14219999999999999</v>
      </c>
      <c r="G61">
        <v>7.8299999999999995E-2</v>
      </c>
      <c r="H61">
        <v>0.19059999999999999</v>
      </c>
      <c r="I61" s="2">
        <f t="shared" si="2"/>
        <v>0.2306</v>
      </c>
      <c r="J61" s="2">
        <f t="shared" si="3"/>
        <v>0.15229999999999999</v>
      </c>
      <c r="L61">
        <f t="shared" si="4"/>
        <v>6.6316480630334853</v>
      </c>
    </row>
    <row r="62" spans="1:12" x14ac:dyDescent="0.25">
      <c r="A62" t="s">
        <v>60</v>
      </c>
      <c r="B62">
        <v>8.1299999999999997E-2</v>
      </c>
      <c r="C62">
        <v>0.18840000000000001</v>
      </c>
      <c r="D62">
        <f t="shared" si="1"/>
        <v>0.10710000000000001</v>
      </c>
      <c r="G62">
        <v>8.0100000000000005E-2</v>
      </c>
      <c r="H62">
        <v>0.18190000000000001</v>
      </c>
      <c r="I62" s="2">
        <f t="shared" si="2"/>
        <v>0.22190000000000001</v>
      </c>
      <c r="J62" s="2">
        <f t="shared" si="3"/>
        <v>0.14180000000000001</v>
      </c>
      <c r="L62">
        <f t="shared" si="4"/>
        <v>24.471086036671363</v>
      </c>
    </row>
    <row r="63" spans="1:12" x14ac:dyDescent="0.25">
      <c r="A63" t="s">
        <v>61</v>
      </c>
      <c r="B63">
        <v>8.2400000000000001E-2</v>
      </c>
      <c r="C63">
        <v>0.18140000000000001</v>
      </c>
      <c r="D63">
        <f t="shared" si="1"/>
        <v>9.9000000000000005E-2</v>
      </c>
      <c r="G63">
        <v>8.1699999999999995E-2</v>
      </c>
      <c r="H63">
        <v>0.1769</v>
      </c>
      <c r="I63" s="2">
        <f t="shared" si="2"/>
        <v>0.21690000000000001</v>
      </c>
      <c r="J63" s="2">
        <f t="shared" si="3"/>
        <v>0.13520000000000001</v>
      </c>
      <c r="L63">
        <f t="shared" si="4"/>
        <v>26.775147928994087</v>
      </c>
    </row>
    <row r="64" spans="1:12" x14ac:dyDescent="0.25">
      <c r="A64" t="s">
        <v>62</v>
      </c>
      <c r="B64">
        <v>8.3000000000000004E-2</v>
      </c>
      <c r="C64">
        <v>0.2273</v>
      </c>
      <c r="D64">
        <f t="shared" si="1"/>
        <v>0.14429999999999998</v>
      </c>
      <c r="G64">
        <v>7.9100000000000004E-2</v>
      </c>
      <c r="H64">
        <v>0.2054</v>
      </c>
      <c r="I64" s="2">
        <f t="shared" si="2"/>
        <v>0.24540000000000001</v>
      </c>
      <c r="J64" s="2">
        <f t="shared" si="3"/>
        <v>0.1663</v>
      </c>
      <c r="L64">
        <f t="shared" si="4"/>
        <v>13.229104028863512</v>
      </c>
    </row>
    <row r="65" spans="1:12" x14ac:dyDescent="0.25">
      <c r="A65" t="s">
        <v>63</v>
      </c>
      <c r="B65">
        <v>8.3099999999999993E-2</v>
      </c>
      <c r="C65">
        <v>0.24249999999999999</v>
      </c>
      <c r="D65">
        <f t="shared" si="1"/>
        <v>0.15939999999999999</v>
      </c>
      <c r="G65">
        <v>8.3400000000000002E-2</v>
      </c>
      <c r="H65">
        <v>0.20660000000000001</v>
      </c>
      <c r="I65" s="2">
        <f t="shared" si="2"/>
        <v>0.24660000000000001</v>
      </c>
      <c r="J65" s="2">
        <f t="shared" si="3"/>
        <v>0.16320000000000001</v>
      </c>
      <c r="L65">
        <f t="shared" si="4"/>
        <v>2.3284313725490353</v>
      </c>
    </row>
    <row r="66" spans="1:12" x14ac:dyDescent="0.25">
      <c r="A66" t="s">
        <v>64</v>
      </c>
      <c r="B66">
        <v>8.2600000000000007E-2</v>
      </c>
      <c r="C66">
        <v>0.24379999999999999</v>
      </c>
      <c r="D66">
        <f t="shared" si="1"/>
        <v>0.16119999999999998</v>
      </c>
      <c r="G66">
        <v>8.0299999999999996E-2</v>
      </c>
      <c r="H66">
        <v>0.20480000000000001</v>
      </c>
      <c r="I66" s="2">
        <f t="shared" si="2"/>
        <v>0.24480000000000002</v>
      </c>
      <c r="J66" s="2">
        <f t="shared" si="3"/>
        <v>0.16450000000000004</v>
      </c>
      <c r="L66">
        <f t="shared" ref="L66:L97" si="5">((J66-D66)/J66)*100</f>
        <v>2.0060790273556548</v>
      </c>
    </row>
    <row r="67" spans="1:12" x14ac:dyDescent="0.25">
      <c r="A67" t="s">
        <v>65</v>
      </c>
      <c r="B67">
        <v>8.7400000000000005E-2</v>
      </c>
      <c r="C67">
        <v>0.24079999999999999</v>
      </c>
      <c r="D67">
        <f t="shared" ref="D67:D97" si="6">(C67-B67)</f>
        <v>0.15339999999999998</v>
      </c>
      <c r="G67">
        <v>8.0100000000000005E-2</v>
      </c>
      <c r="H67">
        <v>0.21759999999999999</v>
      </c>
      <c r="I67" s="2">
        <f t="shared" ref="I67:I97" si="7">H67+0.04</f>
        <v>0.2576</v>
      </c>
      <c r="J67" s="2">
        <f t="shared" ref="J67:J97" si="8">(I67-G67)</f>
        <v>0.17749999999999999</v>
      </c>
      <c r="L67">
        <f t="shared" si="5"/>
        <v>13.577464788732401</v>
      </c>
    </row>
    <row r="68" spans="1:12" x14ac:dyDescent="0.25">
      <c r="A68" t="s">
        <v>66</v>
      </c>
      <c r="B68">
        <v>8.3799999999999999E-2</v>
      </c>
      <c r="C68">
        <v>0.14249999999999999</v>
      </c>
      <c r="D68">
        <f t="shared" si="6"/>
        <v>5.8699999999999988E-2</v>
      </c>
      <c r="G68">
        <v>8.4500000000000006E-2</v>
      </c>
      <c r="H68">
        <v>0.216</v>
      </c>
      <c r="I68" s="2">
        <f t="shared" si="7"/>
        <v>0.25600000000000001</v>
      </c>
      <c r="J68" s="2">
        <f t="shared" si="8"/>
        <v>0.17149999999999999</v>
      </c>
      <c r="L68">
        <f t="shared" si="5"/>
        <v>65.772594752186592</v>
      </c>
    </row>
    <row r="69" spans="1:12" x14ac:dyDescent="0.25">
      <c r="A69" t="s">
        <v>67</v>
      </c>
      <c r="B69">
        <v>8.1600000000000006E-2</v>
      </c>
      <c r="C69">
        <v>0.14480000000000001</v>
      </c>
      <c r="D69">
        <f t="shared" si="6"/>
        <v>6.3200000000000006E-2</v>
      </c>
      <c r="G69">
        <v>8.1500000000000003E-2</v>
      </c>
      <c r="H69">
        <v>0.20519999999999999</v>
      </c>
      <c r="I69" s="2">
        <f t="shared" si="7"/>
        <v>0.2452</v>
      </c>
      <c r="J69" s="2">
        <f t="shared" si="8"/>
        <v>0.16370000000000001</v>
      </c>
      <c r="L69">
        <f t="shared" si="5"/>
        <v>61.392791692119729</v>
      </c>
    </row>
    <row r="70" spans="1:12" x14ac:dyDescent="0.25">
      <c r="A70" t="s">
        <v>68</v>
      </c>
      <c r="B70">
        <v>8.1500000000000003E-2</v>
      </c>
      <c r="C70">
        <v>0.21260000000000001</v>
      </c>
      <c r="D70">
        <f t="shared" si="6"/>
        <v>0.13109999999999999</v>
      </c>
      <c r="G70">
        <v>7.9200000000000007E-2</v>
      </c>
      <c r="H70">
        <v>0.1842</v>
      </c>
      <c r="I70" s="2">
        <f t="shared" si="7"/>
        <v>0.22420000000000001</v>
      </c>
      <c r="J70" s="2">
        <f t="shared" si="8"/>
        <v>0.14500000000000002</v>
      </c>
      <c r="L70">
        <f t="shared" si="5"/>
        <v>9.5862068965517402</v>
      </c>
    </row>
    <row r="71" spans="1:12" x14ac:dyDescent="0.25">
      <c r="A71" t="s">
        <v>69</v>
      </c>
      <c r="B71">
        <v>8.3799999999999999E-2</v>
      </c>
      <c r="C71">
        <v>0.23569999999999999</v>
      </c>
      <c r="D71">
        <f t="shared" si="6"/>
        <v>0.15189999999999998</v>
      </c>
      <c r="G71">
        <v>7.8299999999999995E-2</v>
      </c>
      <c r="H71">
        <v>0.19689999999999999</v>
      </c>
      <c r="I71" s="2">
        <f t="shared" si="7"/>
        <v>0.2369</v>
      </c>
      <c r="J71" s="2">
        <f t="shared" si="8"/>
        <v>0.15860000000000002</v>
      </c>
      <c r="L71">
        <f t="shared" si="5"/>
        <v>4.2244640605296579</v>
      </c>
    </row>
    <row r="72" spans="1:12" x14ac:dyDescent="0.25">
      <c r="A72" t="s">
        <v>70</v>
      </c>
      <c r="B72">
        <v>7.9399999999999998E-2</v>
      </c>
      <c r="C72">
        <v>0.20730000000000001</v>
      </c>
      <c r="D72">
        <f t="shared" si="6"/>
        <v>0.12790000000000001</v>
      </c>
      <c r="G72">
        <v>8.1600000000000006E-2</v>
      </c>
      <c r="H72">
        <v>0.20569999999999999</v>
      </c>
      <c r="I72" s="2">
        <f t="shared" si="7"/>
        <v>0.2457</v>
      </c>
      <c r="J72" s="2">
        <f t="shared" si="8"/>
        <v>0.1641</v>
      </c>
      <c r="L72">
        <f t="shared" si="5"/>
        <v>22.059719683120036</v>
      </c>
    </row>
    <row r="73" spans="1:12" x14ac:dyDescent="0.25">
      <c r="A73" t="s">
        <v>71</v>
      </c>
      <c r="B73">
        <v>8.1000000000000003E-2</v>
      </c>
      <c r="C73">
        <v>0.2344</v>
      </c>
      <c r="D73">
        <f t="shared" si="6"/>
        <v>0.15339999999999998</v>
      </c>
      <c r="G73">
        <v>7.8E-2</v>
      </c>
      <c r="H73">
        <v>0.20449999999999999</v>
      </c>
      <c r="I73" s="2">
        <f t="shared" si="7"/>
        <v>0.2445</v>
      </c>
      <c r="J73" s="2">
        <f t="shared" si="8"/>
        <v>0.16649999999999998</v>
      </c>
      <c r="L73">
        <f t="shared" si="5"/>
        <v>7.8678678678678686</v>
      </c>
    </row>
    <row r="74" spans="1:12" x14ac:dyDescent="0.25">
      <c r="A74" t="s">
        <v>72</v>
      </c>
      <c r="B74">
        <v>7.9399999999999998E-2</v>
      </c>
      <c r="C74">
        <v>0.17080000000000001</v>
      </c>
      <c r="D74">
        <f t="shared" si="6"/>
        <v>9.1400000000000009E-2</v>
      </c>
      <c r="G74">
        <v>7.9200000000000007E-2</v>
      </c>
      <c r="H74">
        <v>0.20330000000000001</v>
      </c>
      <c r="I74" s="2">
        <f t="shared" si="7"/>
        <v>0.24330000000000002</v>
      </c>
      <c r="J74" s="2">
        <f t="shared" si="8"/>
        <v>0.16410000000000002</v>
      </c>
      <c r="L74">
        <f t="shared" si="5"/>
        <v>44.302254722730048</v>
      </c>
    </row>
    <row r="75" spans="1:12" x14ac:dyDescent="0.25">
      <c r="A75" t="s">
        <v>73</v>
      </c>
      <c r="B75">
        <v>8.1699999999999995E-2</v>
      </c>
      <c r="C75">
        <v>0.19789999999999999</v>
      </c>
      <c r="D75">
        <f t="shared" si="6"/>
        <v>0.1162</v>
      </c>
      <c r="G75">
        <v>8.6800000000000002E-2</v>
      </c>
      <c r="H75">
        <v>0.20039999999999999</v>
      </c>
      <c r="I75" s="2">
        <f t="shared" si="7"/>
        <v>0.2404</v>
      </c>
      <c r="J75" s="2">
        <f t="shared" si="8"/>
        <v>0.15360000000000001</v>
      </c>
      <c r="L75">
        <f t="shared" si="5"/>
        <v>24.348958333333343</v>
      </c>
    </row>
    <row r="76" spans="1:12" x14ac:dyDescent="0.25">
      <c r="A76" t="s">
        <v>74</v>
      </c>
      <c r="B76">
        <v>8.1699999999999995E-2</v>
      </c>
      <c r="C76">
        <v>0.19159999999999999</v>
      </c>
      <c r="D76">
        <f t="shared" si="6"/>
        <v>0.1099</v>
      </c>
      <c r="G76">
        <v>8.3000000000000004E-2</v>
      </c>
      <c r="H76">
        <v>0.19900000000000001</v>
      </c>
      <c r="I76" s="2">
        <f t="shared" si="7"/>
        <v>0.23900000000000002</v>
      </c>
      <c r="J76" s="2">
        <f t="shared" si="8"/>
        <v>0.15600000000000003</v>
      </c>
      <c r="L76">
        <f t="shared" si="5"/>
        <v>29.551282051282062</v>
      </c>
    </row>
    <row r="77" spans="1:12" x14ac:dyDescent="0.25">
      <c r="A77" t="s">
        <v>75</v>
      </c>
      <c r="B77">
        <v>8.09E-2</v>
      </c>
      <c r="C77">
        <v>0.1799</v>
      </c>
      <c r="D77">
        <f t="shared" si="6"/>
        <v>9.9000000000000005E-2</v>
      </c>
      <c r="G77">
        <v>7.9699999999999993E-2</v>
      </c>
      <c r="H77">
        <v>0.20730000000000001</v>
      </c>
      <c r="I77" s="2">
        <f t="shared" si="7"/>
        <v>0.24730000000000002</v>
      </c>
      <c r="J77" s="2">
        <f t="shared" si="8"/>
        <v>0.16760000000000003</v>
      </c>
      <c r="L77">
        <f t="shared" si="5"/>
        <v>40.930787589498813</v>
      </c>
    </row>
    <row r="78" spans="1:12" x14ac:dyDescent="0.25">
      <c r="A78" t="s">
        <v>76</v>
      </c>
      <c r="B78">
        <v>8.2400000000000001E-2</v>
      </c>
      <c r="C78">
        <v>0.2505</v>
      </c>
      <c r="D78">
        <f t="shared" si="6"/>
        <v>0.1681</v>
      </c>
      <c r="G78">
        <v>7.9100000000000004E-2</v>
      </c>
      <c r="H78">
        <v>0.2107</v>
      </c>
      <c r="I78" s="2">
        <f t="shared" si="7"/>
        <v>0.25069999999999998</v>
      </c>
      <c r="J78" s="2">
        <f t="shared" si="8"/>
        <v>0.17159999999999997</v>
      </c>
      <c r="L78">
        <f t="shared" si="5"/>
        <v>2.0396270396270255</v>
      </c>
    </row>
    <row r="79" spans="1:12" x14ac:dyDescent="0.25">
      <c r="A79" t="s">
        <v>77</v>
      </c>
      <c r="B79">
        <v>8.2500000000000004E-2</v>
      </c>
      <c r="C79">
        <v>0.20599999999999999</v>
      </c>
      <c r="D79">
        <f t="shared" si="6"/>
        <v>0.12349999999999998</v>
      </c>
      <c r="G79">
        <v>7.8600000000000003E-2</v>
      </c>
      <c r="H79">
        <v>0.19400000000000001</v>
      </c>
      <c r="I79" s="2">
        <f t="shared" si="7"/>
        <v>0.23400000000000001</v>
      </c>
      <c r="J79" s="2">
        <f t="shared" si="8"/>
        <v>0.15540000000000001</v>
      </c>
      <c r="L79">
        <f t="shared" si="5"/>
        <v>20.527670527670544</v>
      </c>
    </row>
    <row r="80" spans="1:12" x14ac:dyDescent="0.25">
      <c r="A80" t="s">
        <v>78</v>
      </c>
      <c r="B80">
        <v>8.6800000000000002E-2</v>
      </c>
      <c r="C80">
        <v>0.18959999999999999</v>
      </c>
      <c r="D80">
        <f t="shared" si="6"/>
        <v>0.10279999999999999</v>
      </c>
      <c r="G80">
        <v>7.8600000000000003E-2</v>
      </c>
      <c r="H80">
        <v>0.1988</v>
      </c>
      <c r="I80" s="2">
        <f t="shared" si="7"/>
        <v>0.23880000000000001</v>
      </c>
      <c r="J80" s="2">
        <f t="shared" si="8"/>
        <v>0.16020000000000001</v>
      </c>
      <c r="L80">
        <f t="shared" si="5"/>
        <v>35.830212234706629</v>
      </c>
    </row>
    <row r="81" spans="1:12" x14ac:dyDescent="0.25">
      <c r="A81" t="s">
        <v>79</v>
      </c>
      <c r="B81">
        <v>8.3000000000000004E-2</v>
      </c>
      <c r="C81">
        <v>0.21379999999999999</v>
      </c>
      <c r="D81">
        <f t="shared" si="6"/>
        <v>0.13079999999999997</v>
      </c>
      <c r="G81">
        <v>7.8799999999999995E-2</v>
      </c>
      <c r="H81">
        <v>0.21260000000000001</v>
      </c>
      <c r="I81" s="2">
        <f t="shared" si="7"/>
        <v>0.25259999999999999</v>
      </c>
      <c r="J81" s="2">
        <f t="shared" si="8"/>
        <v>0.17380000000000001</v>
      </c>
      <c r="L81">
        <f t="shared" si="5"/>
        <v>24.741081703107039</v>
      </c>
    </row>
    <row r="82" spans="1:12" x14ac:dyDescent="0.25">
      <c r="A82" t="s">
        <v>80</v>
      </c>
      <c r="B82">
        <v>8.3299999999999999E-2</v>
      </c>
      <c r="C82">
        <v>0.2021</v>
      </c>
      <c r="D82">
        <f t="shared" si="6"/>
        <v>0.1188</v>
      </c>
      <c r="G82">
        <v>8.0600000000000005E-2</v>
      </c>
      <c r="H82">
        <v>0.20610000000000001</v>
      </c>
      <c r="I82" s="2">
        <f t="shared" si="7"/>
        <v>0.24610000000000001</v>
      </c>
      <c r="J82" s="2">
        <f t="shared" si="8"/>
        <v>0.16550000000000001</v>
      </c>
      <c r="L82">
        <f t="shared" si="5"/>
        <v>28.217522658610271</v>
      </c>
    </row>
    <row r="83" spans="1:12" x14ac:dyDescent="0.25">
      <c r="A83" t="s">
        <v>81</v>
      </c>
      <c r="B83">
        <v>8.1900000000000001E-2</v>
      </c>
      <c r="C83">
        <v>0.1709</v>
      </c>
      <c r="D83">
        <f t="shared" si="6"/>
        <v>8.8999999999999996E-2</v>
      </c>
      <c r="G83">
        <v>7.4700000000000003E-2</v>
      </c>
      <c r="H83">
        <v>0.1799</v>
      </c>
      <c r="I83" s="2">
        <f t="shared" si="7"/>
        <v>0.21990000000000001</v>
      </c>
      <c r="J83" s="2">
        <f t="shared" si="8"/>
        <v>0.1452</v>
      </c>
      <c r="L83">
        <f t="shared" si="5"/>
        <v>38.705234159779614</v>
      </c>
    </row>
    <row r="84" spans="1:12" x14ac:dyDescent="0.25">
      <c r="A84" t="s">
        <v>82</v>
      </c>
      <c r="B84">
        <v>8.5800000000000001E-2</v>
      </c>
      <c r="C84">
        <v>0.22059999999999999</v>
      </c>
      <c r="D84">
        <f t="shared" si="6"/>
        <v>0.13479999999999998</v>
      </c>
      <c r="G84">
        <v>8.2299999999999998E-2</v>
      </c>
      <c r="H84">
        <v>0.20230000000000001</v>
      </c>
      <c r="I84" s="2">
        <f t="shared" si="7"/>
        <v>0.24230000000000002</v>
      </c>
      <c r="J84" s="2">
        <f t="shared" si="8"/>
        <v>0.16000000000000003</v>
      </c>
      <c r="L84">
        <f t="shared" si="5"/>
        <v>15.75000000000003</v>
      </c>
    </row>
    <row r="85" spans="1:12" x14ac:dyDescent="0.25">
      <c r="A85" t="s">
        <v>83</v>
      </c>
      <c r="B85">
        <v>8.0600000000000005E-2</v>
      </c>
      <c r="C85">
        <v>0.22220000000000001</v>
      </c>
      <c r="D85">
        <f t="shared" si="6"/>
        <v>0.1416</v>
      </c>
      <c r="G85">
        <v>8.1100000000000005E-2</v>
      </c>
      <c r="H85">
        <v>0.20019999999999999</v>
      </c>
      <c r="I85" s="2">
        <f t="shared" si="7"/>
        <v>0.2402</v>
      </c>
      <c r="J85" s="2">
        <f t="shared" si="8"/>
        <v>0.15909999999999999</v>
      </c>
      <c r="L85">
        <f t="shared" si="5"/>
        <v>10.999371464487737</v>
      </c>
    </row>
    <row r="86" spans="1:12" x14ac:dyDescent="0.25">
      <c r="A86" t="s">
        <v>84</v>
      </c>
      <c r="B86">
        <v>8.2500000000000004E-2</v>
      </c>
      <c r="C86">
        <v>0.1686</v>
      </c>
      <c r="D86">
        <f t="shared" si="6"/>
        <v>8.6099999999999996E-2</v>
      </c>
      <c r="G86">
        <v>8.0799999999999997E-2</v>
      </c>
      <c r="H86">
        <v>0.17749999999999999</v>
      </c>
      <c r="I86" s="2">
        <f t="shared" si="7"/>
        <v>0.2175</v>
      </c>
      <c r="J86" s="2">
        <f t="shared" si="8"/>
        <v>0.13669999999999999</v>
      </c>
      <c r="L86">
        <f t="shared" si="5"/>
        <v>37.015362106803217</v>
      </c>
    </row>
    <row r="87" spans="1:12" x14ac:dyDescent="0.25">
      <c r="A87" t="s">
        <v>85</v>
      </c>
      <c r="B87">
        <v>8.0500000000000002E-2</v>
      </c>
      <c r="C87">
        <v>0.1585</v>
      </c>
      <c r="D87">
        <f t="shared" si="6"/>
        <v>7.8E-2</v>
      </c>
      <c r="G87">
        <v>8.4400000000000003E-2</v>
      </c>
      <c r="H87">
        <v>0.1527</v>
      </c>
      <c r="I87" s="2">
        <f t="shared" si="7"/>
        <v>0.19270000000000001</v>
      </c>
      <c r="J87" s="2">
        <f t="shared" si="8"/>
        <v>0.10830000000000001</v>
      </c>
      <c r="L87">
        <f t="shared" si="5"/>
        <v>27.977839335180061</v>
      </c>
    </row>
    <row r="88" spans="1:12" x14ac:dyDescent="0.25">
      <c r="A88" t="s">
        <v>86</v>
      </c>
      <c r="B88">
        <v>8.5099999999999995E-2</v>
      </c>
      <c r="C88">
        <v>0.1699</v>
      </c>
      <c r="D88">
        <f t="shared" si="6"/>
        <v>8.48E-2</v>
      </c>
      <c r="G88">
        <v>8.0699999999999994E-2</v>
      </c>
      <c r="H88">
        <v>0.156</v>
      </c>
      <c r="I88" s="2">
        <f t="shared" si="7"/>
        <v>0.19600000000000001</v>
      </c>
      <c r="J88" s="2">
        <f t="shared" si="8"/>
        <v>0.11530000000000001</v>
      </c>
      <c r="L88">
        <f t="shared" si="5"/>
        <v>26.452732003469219</v>
      </c>
    </row>
    <row r="89" spans="1:12" x14ac:dyDescent="0.25">
      <c r="A89" t="s">
        <v>87</v>
      </c>
      <c r="B89">
        <v>8.2100000000000006E-2</v>
      </c>
      <c r="C89">
        <v>0.2079</v>
      </c>
      <c r="D89">
        <f t="shared" si="6"/>
        <v>0.1258</v>
      </c>
      <c r="G89">
        <v>8.2600000000000007E-2</v>
      </c>
      <c r="H89">
        <v>0.20019999999999999</v>
      </c>
      <c r="I89" s="2">
        <f t="shared" si="7"/>
        <v>0.2402</v>
      </c>
      <c r="J89" s="2">
        <f t="shared" si="8"/>
        <v>0.15759999999999999</v>
      </c>
      <c r="L89">
        <f t="shared" si="5"/>
        <v>20.17766497461929</v>
      </c>
    </row>
    <row r="90" spans="1:12" x14ac:dyDescent="0.25">
      <c r="A90" t="s">
        <v>88</v>
      </c>
      <c r="B90">
        <v>7.85E-2</v>
      </c>
      <c r="C90">
        <v>7.8700000000000006E-2</v>
      </c>
      <c r="D90">
        <f t="shared" si="6"/>
        <v>2.0000000000000573E-4</v>
      </c>
      <c r="G90">
        <v>7.8700000000000006E-2</v>
      </c>
      <c r="H90">
        <v>7.9899999999999999E-2</v>
      </c>
      <c r="I90" s="2">
        <f t="shared" si="7"/>
        <v>0.11990000000000001</v>
      </c>
      <c r="J90" s="2">
        <f t="shared" si="8"/>
        <v>4.1200000000000001E-2</v>
      </c>
      <c r="L90">
        <f t="shared" si="5"/>
        <v>99.514563106796103</v>
      </c>
    </row>
    <row r="91" spans="1:12" x14ac:dyDescent="0.25">
      <c r="A91" t="s">
        <v>89</v>
      </c>
      <c r="B91">
        <v>7.8899999999999998E-2</v>
      </c>
      <c r="C91">
        <v>7.8100000000000003E-2</v>
      </c>
      <c r="D91">
        <f t="shared" si="6"/>
        <v>-7.9999999999999516E-4</v>
      </c>
      <c r="G91">
        <v>8.1900000000000001E-2</v>
      </c>
      <c r="H91">
        <v>8.0600000000000005E-2</v>
      </c>
      <c r="I91" s="2">
        <f t="shared" si="7"/>
        <v>0.12060000000000001</v>
      </c>
      <c r="J91" s="2">
        <f t="shared" si="8"/>
        <v>3.8700000000000012E-2</v>
      </c>
      <c r="L91">
        <f t="shared" si="5"/>
        <v>102.0671834625323</v>
      </c>
    </row>
    <row r="92" spans="1:12" x14ac:dyDescent="0.25">
      <c r="A92" t="s">
        <v>90</v>
      </c>
      <c r="B92">
        <v>7.9600000000000004E-2</v>
      </c>
      <c r="C92">
        <v>7.6200000000000004E-2</v>
      </c>
      <c r="D92">
        <f t="shared" si="6"/>
        <v>-3.4000000000000002E-3</v>
      </c>
      <c r="G92">
        <v>7.8299999999999995E-2</v>
      </c>
      <c r="H92">
        <v>7.9200000000000007E-2</v>
      </c>
      <c r="I92" s="2">
        <f t="shared" si="7"/>
        <v>0.1192</v>
      </c>
      <c r="J92" s="2">
        <f t="shared" si="8"/>
        <v>4.0900000000000006E-2</v>
      </c>
      <c r="L92">
        <f t="shared" si="5"/>
        <v>108.31295843520783</v>
      </c>
    </row>
    <row r="93" spans="1:12" x14ac:dyDescent="0.25">
      <c r="A93" t="s">
        <v>91</v>
      </c>
      <c r="B93">
        <v>8.1900000000000001E-2</v>
      </c>
      <c r="C93">
        <v>8.0199999999999994E-2</v>
      </c>
      <c r="D93">
        <f t="shared" si="6"/>
        <v>-1.7000000000000071E-3</v>
      </c>
      <c r="G93">
        <v>7.9600000000000004E-2</v>
      </c>
      <c r="H93">
        <v>8.1199999999999994E-2</v>
      </c>
      <c r="I93" s="2">
        <f t="shared" si="7"/>
        <v>0.1212</v>
      </c>
      <c r="J93" s="2">
        <f t="shared" si="8"/>
        <v>4.1599999999999998E-2</v>
      </c>
      <c r="L93">
        <f t="shared" si="5"/>
        <v>104.08653846153848</v>
      </c>
    </row>
    <row r="94" spans="1:12" x14ac:dyDescent="0.25">
      <c r="A94" t="s">
        <v>92</v>
      </c>
      <c r="B94">
        <v>7.8899999999999998E-2</v>
      </c>
      <c r="C94">
        <v>7.8200000000000006E-2</v>
      </c>
      <c r="D94">
        <f t="shared" si="6"/>
        <v>-6.999999999999923E-4</v>
      </c>
      <c r="G94">
        <v>8.1600000000000006E-2</v>
      </c>
      <c r="H94">
        <v>7.9699999999999993E-2</v>
      </c>
      <c r="I94" s="2">
        <f t="shared" si="7"/>
        <v>0.1197</v>
      </c>
      <c r="J94" s="2">
        <f t="shared" si="8"/>
        <v>3.8099999999999995E-2</v>
      </c>
      <c r="L94">
        <f t="shared" si="5"/>
        <v>101.83727034120733</v>
      </c>
    </row>
    <row r="95" spans="1:12" x14ac:dyDescent="0.25">
      <c r="A95" t="s">
        <v>93</v>
      </c>
      <c r="B95">
        <v>8.2900000000000001E-2</v>
      </c>
      <c r="C95">
        <v>7.85E-2</v>
      </c>
      <c r="D95">
        <f t="shared" si="6"/>
        <v>-4.4000000000000011E-3</v>
      </c>
      <c r="G95">
        <v>7.6399999999999996E-2</v>
      </c>
      <c r="H95">
        <v>7.9200000000000007E-2</v>
      </c>
      <c r="I95" s="2">
        <f t="shared" si="7"/>
        <v>0.1192</v>
      </c>
      <c r="J95" s="2">
        <f t="shared" si="8"/>
        <v>4.2800000000000005E-2</v>
      </c>
      <c r="L95">
        <f t="shared" si="5"/>
        <v>110.28037383177572</v>
      </c>
    </row>
    <row r="96" spans="1:12" x14ac:dyDescent="0.25">
      <c r="A96" t="s">
        <v>94</v>
      </c>
      <c r="B96">
        <v>8.1500000000000003E-2</v>
      </c>
      <c r="C96">
        <v>9.8699999999999996E-2</v>
      </c>
      <c r="D96">
        <f t="shared" si="6"/>
        <v>1.7199999999999993E-2</v>
      </c>
      <c r="G96">
        <v>8.09E-2</v>
      </c>
      <c r="H96">
        <v>0.18870000000000001</v>
      </c>
      <c r="I96" s="2">
        <f t="shared" si="7"/>
        <v>0.22870000000000001</v>
      </c>
      <c r="J96" s="2">
        <f t="shared" si="8"/>
        <v>0.14780000000000001</v>
      </c>
      <c r="L96">
        <f t="shared" si="5"/>
        <v>88.362652232746967</v>
      </c>
    </row>
    <row r="97" spans="1:12" x14ac:dyDescent="0.25">
      <c r="A97" t="s">
        <v>95</v>
      </c>
      <c r="B97">
        <v>7.9100000000000004E-2</v>
      </c>
      <c r="C97">
        <v>0.1075</v>
      </c>
      <c r="D97">
        <f t="shared" si="6"/>
        <v>2.8399999999999995E-2</v>
      </c>
      <c r="G97">
        <v>7.9500000000000001E-2</v>
      </c>
      <c r="H97">
        <v>0.1925</v>
      </c>
      <c r="I97" s="2">
        <f t="shared" si="7"/>
        <v>0.23250000000000001</v>
      </c>
      <c r="J97" s="2">
        <f t="shared" si="8"/>
        <v>0.15300000000000002</v>
      </c>
      <c r="L97">
        <f t="shared" si="5"/>
        <v>81.437908496732035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105"/>
  <sheetViews>
    <sheetView tabSelected="1" topLeftCell="A79" zoomScale="85" zoomScaleNormal="85" workbookViewId="0">
      <selection activeCell="D105" sqref="D105"/>
    </sheetView>
  </sheetViews>
  <sheetFormatPr defaultRowHeight="15" x14ac:dyDescent="0.25"/>
  <cols>
    <col min="3" max="3" width="9.140625" style="3"/>
    <col min="4" max="4" width="12.28515625" bestFit="1" customWidth="1"/>
  </cols>
  <sheetData>
    <row r="1" spans="1:13" x14ac:dyDescent="0.25">
      <c r="A1" t="s">
        <v>374</v>
      </c>
      <c r="B1" t="s">
        <v>112</v>
      </c>
      <c r="D1" t="s">
        <v>103</v>
      </c>
      <c r="E1" t="s">
        <v>104</v>
      </c>
      <c r="F1" t="s">
        <v>105</v>
      </c>
      <c r="G1" t="s">
        <v>106</v>
      </c>
      <c r="H1" t="s">
        <v>376</v>
      </c>
      <c r="I1" s="2" t="s">
        <v>110</v>
      </c>
    </row>
    <row r="2" spans="1:13" x14ac:dyDescent="0.25">
      <c r="A2" t="s">
        <v>225</v>
      </c>
      <c r="B2" t="s">
        <v>133</v>
      </c>
      <c r="C2" s="3" t="s">
        <v>331</v>
      </c>
      <c r="D2">
        <f>'plate 3'!L23</f>
        <v>6.5772669220945286</v>
      </c>
      <c r="E2">
        <f>'plate 2'!M22</f>
        <v>7.4468085106383111</v>
      </c>
      <c r="F2">
        <f>'plate 1'!L22</f>
        <v>1.9173157579388742</v>
      </c>
      <c r="G2">
        <f t="shared" ref="G2:G33" si="0">AVERAGE(D2:F2)</f>
        <v>5.3137970635572378</v>
      </c>
      <c r="H2">
        <f t="shared" ref="H2:H33" si="1">((STDEV(D2:F2)))</f>
        <v>2.9733969778879303</v>
      </c>
      <c r="I2" s="1" t="str">
        <f t="shared" ref="I2:I33" si="2">IF(AND(D2&lt;$M$2,E2&lt;$M$2,F2&lt;$M$2),"yes","no")</f>
        <v>yes</v>
      </c>
      <c r="L2" t="s">
        <v>111</v>
      </c>
      <c r="M2">
        <v>60</v>
      </c>
    </row>
    <row r="3" spans="1:13" x14ac:dyDescent="0.25">
      <c r="A3" t="s">
        <v>223</v>
      </c>
      <c r="B3" t="s">
        <v>131</v>
      </c>
      <c r="C3" s="3" t="s">
        <v>348</v>
      </c>
      <c r="D3">
        <f>'plate 3'!L21</f>
        <v>11.545399879735415</v>
      </c>
      <c r="E3">
        <f>'plate 2'!M20</f>
        <v>5.9388122375524697</v>
      </c>
      <c r="F3">
        <f>'plate 1'!L20</f>
        <v>-1.4253135689851941</v>
      </c>
      <c r="G3">
        <f t="shared" si="0"/>
        <v>5.3529661827675641</v>
      </c>
      <c r="H3" s="2">
        <f t="shared" si="1"/>
        <v>6.5051720609170429</v>
      </c>
      <c r="I3" s="1" t="str">
        <f t="shared" si="2"/>
        <v>yes</v>
      </c>
    </row>
    <row r="4" spans="1:13" x14ac:dyDescent="0.25">
      <c r="A4" t="s">
        <v>210</v>
      </c>
      <c r="B4" t="s">
        <v>118</v>
      </c>
      <c r="C4" s="3" t="s">
        <v>365</v>
      </c>
      <c r="D4">
        <f>'plate 3'!L8</f>
        <v>11.895276038702335</v>
      </c>
      <c r="E4">
        <f>'plate 2'!M7</f>
        <v>6.935758953951102</v>
      </c>
      <c r="F4">
        <f>'plate 1'!L7</f>
        <v>-0.23405500292569426</v>
      </c>
      <c r="G4">
        <f t="shared" si="0"/>
        <v>6.1989933299092472</v>
      </c>
      <c r="H4" s="2">
        <f t="shared" si="1"/>
        <v>6.0981378770840902</v>
      </c>
      <c r="I4" s="1" t="str">
        <f t="shared" si="2"/>
        <v>yes</v>
      </c>
      <c r="L4" t="s">
        <v>302</v>
      </c>
      <c r="M4">
        <f>AVERAGE(G2:G97)</f>
        <v>34.09879854142148</v>
      </c>
    </row>
    <row r="5" spans="1:13" x14ac:dyDescent="0.25">
      <c r="A5" t="s">
        <v>237</v>
      </c>
      <c r="B5" s="2" t="s">
        <v>145</v>
      </c>
      <c r="C5" s="3" t="s">
        <v>352</v>
      </c>
      <c r="D5">
        <f>'plate 3'!L36</f>
        <v>6.0815047021943656</v>
      </c>
      <c r="E5">
        <f>'plate 2'!M35</f>
        <v>8.3539603960396107</v>
      </c>
      <c r="F5">
        <f>'plate 1'!L35</f>
        <v>6.9993913572732867</v>
      </c>
      <c r="G5">
        <f t="shared" si="0"/>
        <v>7.1449521518357537</v>
      </c>
      <c r="H5" s="2">
        <f t="shared" si="1"/>
        <v>1.1431993171829902</v>
      </c>
      <c r="I5" s="1" t="str">
        <f t="shared" si="2"/>
        <v>yes</v>
      </c>
    </row>
    <row r="6" spans="1:13" x14ac:dyDescent="0.25">
      <c r="A6" t="s">
        <v>206</v>
      </c>
      <c r="B6" t="s">
        <v>114</v>
      </c>
      <c r="C6" s="3" t="s">
        <v>346</v>
      </c>
      <c r="D6">
        <f>'plate 3'!L4</f>
        <v>13.919627256843334</v>
      </c>
      <c r="E6">
        <f>'plate 2'!M3</f>
        <v>6.5312843029637886</v>
      </c>
      <c r="F6">
        <f>'plate 1'!L3</f>
        <v>3.4127843986998774</v>
      </c>
      <c r="G6">
        <f t="shared" si="0"/>
        <v>7.9545653195023336</v>
      </c>
      <c r="H6" s="2">
        <f t="shared" si="1"/>
        <v>5.3960850021528826</v>
      </c>
      <c r="I6" s="1" t="str">
        <f t="shared" si="2"/>
        <v>yes</v>
      </c>
    </row>
    <row r="7" spans="1:13" x14ac:dyDescent="0.25">
      <c r="A7" t="s">
        <v>268</v>
      </c>
      <c r="B7" t="s">
        <v>175</v>
      </c>
      <c r="C7" s="3" t="s">
        <v>362</v>
      </c>
      <c r="D7">
        <f>'plate 3'!L67</f>
        <v>13.064419024683922</v>
      </c>
      <c r="E7">
        <f>'plate 2'!M66</f>
        <v>9.9703264094955397</v>
      </c>
      <c r="F7">
        <f>'plate 1'!L66</f>
        <v>2.0060790273556548</v>
      </c>
      <c r="G7">
        <f t="shared" si="0"/>
        <v>8.3469414871783716</v>
      </c>
      <c r="H7" s="2">
        <f t="shared" si="1"/>
        <v>5.7051077841380504</v>
      </c>
      <c r="I7" s="1" t="str">
        <f t="shared" si="2"/>
        <v>yes</v>
      </c>
    </row>
    <row r="8" spans="1:13" x14ac:dyDescent="0.25">
      <c r="A8" t="s">
        <v>259</v>
      </c>
      <c r="B8" t="s">
        <v>166</v>
      </c>
      <c r="C8" s="3" t="s">
        <v>354</v>
      </c>
      <c r="D8">
        <f>'plate 3'!L58</f>
        <v>12.362637362637372</v>
      </c>
      <c r="E8">
        <f>'plate 2'!M57</f>
        <v>8.7960074859638198</v>
      </c>
      <c r="F8">
        <f>'plate 1'!L57</f>
        <v>6.2724014336917628</v>
      </c>
      <c r="G8">
        <f t="shared" si="0"/>
        <v>9.1436820940976506</v>
      </c>
      <c r="H8" s="2">
        <f t="shared" si="1"/>
        <v>3.0599675884575581</v>
      </c>
      <c r="I8" s="1" t="str">
        <f t="shared" si="2"/>
        <v>yes</v>
      </c>
    </row>
    <row r="9" spans="1:13" x14ac:dyDescent="0.25">
      <c r="A9" t="s">
        <v>267</v>
      </c>
      <c r="B9" t="s">
        <v>174</v>
      </c>
      <c r="C9" s="3" t="s">
        <v>341</v>
      </c>
      <c r="D9">
        <f>'plate 3'!L66</f>
        <v>9.3349603416717404</v>
      </c>
      <c r="E9">
        <f>'plate 2'!M65</f>
        <v>16.269368295589967</v>
      </c>
      <c r="F9">
        <f>'plate 1'!L65</f>
        <v>2.3284313725490353</v>
      </c>
      <c r="G9">
        <f t="shared" si="0"/>
        <v>9.3109200032702475</v>
      </c>
      <c r="H9" s="2">
        <f t="shared" si="1"/>
        <v>6.9704995535796659</v>
      </c>
      <c r="I9" s="1" t="str">
        <f t="shared" si="2"/>
        <v>yes</v>
      </c>
    </row>
    <row r="10" spans="1:13" x14ac:dyDescent="0.25">
      <c r="A10" t="s">
        <v>280</v>
      </c>
      <c r="B10" t="s">
        <v>187</v>
      </c>
      <c r="C10" s="5" t="s">
        <v>187</v>
      </c>
      <c r="D10">
        <f>'plate 3'!L79</f>
        <v>16.152019002375297</v>
      </c>
      <c r="E10">
        <f>'plate 2'!M78</f>
        <v>17.453098351335989</v>
      </c>
      <c r="F10">
        <f>'plate 1'!L78</f>
        <v>2.0396270396270255</v>
      </c>
      <c r="G10">
        <f t="shared" si="0"/>
        <v>11.881581464446105</v>
      </c>
      <c r="H10" s="2">
        <f t="shared" si="1"/>
        <v>8.5481724387868354</v>
      </c>
      <c r="I10" s="1" t="str">
        <f t="shared" si="2"/>
        <v>yes</v>
      </c>
    </row>
    <row r="11" spans="1:13" x14ac:dyDescent="0.25">
      <c r="A11" t="s">
        <v>263</v>
      </c>
      <c r="B11" t="s">
        <v>170</v>
      </c>
      <c r="C11" s="3" t="s">
        <v>321</v>
      </c>
      <c r="D11">
        <f>'plate 3'!L62</f>
        <v>15.991620111731839</v>
      </c>
      <c r="E11">
        <f>'plate 2'!M61</f>
        <v>13.484646194926567</v>
      </c>
      <c r="F11">
        <f>'plate 1'!L61</f>
        <v>6.6316480630334853</v>
      </c>
      <c r="G11">
        <f t="shared" si="0"/>
        <v>12.035971456563963</v>
      </c>
      <c r="H11" s="2">
        <f t="shared" si="1"/>
        <v>4.8452309605715511</v>
      </c>
      <c r="I11" s="1" t="str">
        <f t="shared" si="2"/>
        <v>yes</v>
      </c>
    </row>
    <row r="12" spans="1:13" x14ac:dyDescent="0.25">
      <c r="A12" t="s">
        <v>275</v>
      </c>
      <c r="B12" t="s">
        <v>182</v>
      </c>
      <c r="C12" s="5" t="s">
        <v>182</v>
      </c>
      <c r="D12">
        <f>'plate 3'!L74</f>
        <v>15.749525616698293</v>
      </c>
      <c r="E12">
        <f>'plate 2'!M73</f>
        <v>14.001244555071557</v>
      </c>
      <c r="F12">
        <f>'plate 1'!L73</f>
        <v>7.8678678678678686</v>
      </c>
      <c r="G12">
        <f t="shared" si="0"/>
        <v>12.539546013212572</v>
      </c>
      <c r="H12" s="2">
        <f t="shared" si="1"/>
        <v>4.1391489690368939</v>
      </c>
      <c r="I12" s="1" t="str">
        <f t="shared" si="2"/>
        <v>yes</v>
      </c>
    </row>
    <row r="13" spans="1:13" x14ac:dyDescent="0.25">
      <c r="A13" t="s">
        <v>213</v>
      </c>
      <c r="B13" s="4" t="s">
        <v>121</v>
      </c>
      <c r="C13" s="3" t="s">
        <v>373</v>
      </c>
      <c r="D13">
        <f>'plate 3'!L11</f>
        <v>14.756025867136985</v>
      </c>
      <c r="E13">
        <f>'plate 2'!M10</f>
        <v>13.526284701712941</v>
      </c>
      <c r="F13">
        <f>'plate 1'!L10</f>
        <v>9.6486335750139478</v>
      </c>
      <c r="G13">
        <f t="shared" si="0"/>
        <v>12.643648047954626</v>
      </c>
      <c r="H13" s="2">
        <f t="shared" si="1"/>
        <v>2.6656424372611687</v>
      </c>
      <c r="I13" s="1" t="str">
        <f t="shared" si="2"/>
        <v>yes</v>
      </c>
    </row>
    <row r="14" spans="1:13" x14ac:dyDescent="0.25">
      <c r="A14" t="s">
        <v>207</v>
      </c>
      <c r="B14" s="2" t="s">
        <v>115</v>
      </c>
      <c r="C14" s="3" t="s">
        <v>303</v>
      </c>
      <c r="D14">
        <f>'plate 3'!L5</f>
        <v>20.010157440325049</v>
      </c>
      <c r="E14">
        <f>'plate 2'!M4</f>
        <v>11.310782241014815</v>
      </c>
      <c r="F14">
        <f>'plate 1'!L4</f>
        <v>6.7681007345225437</v>
      </c>
      <c r="G14">
        <f t="shared" si="0"/>
        <v>12.696346805287469</v>
      </c>
      <c r="H14" s="2">
        <f t="shared" si="1"/>
        <v>6.7288823976384311</v>
      </c>
      <c r="I14" s="1" t="str">
        <f t="shared" si="2"/>
        <v>yes</v>
      </c>
    </row>
    <row r="15" spans="1:13" x14ac:dyDescent="0.25">
      <c r="A15" t="s">
        <v>254</v>
      </c>
      <c r="B15" t="s">
        <v>162</v>
      </c>
      <c r="C15" s="3" t="s">
        <v>316</v>
      </c>
      <c r="D15">
        <f>'plate 3'!L53</f>
        <v>14.599774520856823</v>
      </c>
      <c r="E15">
        <f>'plate 2'!M52</f>
        <v>17.859220477021527</v>
      </c>
      <c r="F15">
        <f>'plate 1'!L52</f>
        <v>6.7065868263472996</v>
      </c>
      <c r="G15">
        <f t="shared" si="0"/>
        <v>13.055193941408548</v>
      </c>
      <c r="H15" s="2">
        <f t="shared" si="1"/>
        <v>5.7345101108415824</v>
      </c>
      <c r="I15" s="1" t="str">
        <f t="shared" si="2"/>
        <v>yes</v>
      </c>
    </row>
    <row r="16" spans="1:13" x14ac:dyDescent="0.25">
      <c r="A16" t="s">
        <v>273</v>
      </c>
      <c r="B16" t="s">
        <v>180</v>
      </c>
      <c r="C16" s="3" t="s">
        <v>310</v>
      </c>
      <c r="D16">
        <f>'plate 3'!L72</f>
        <v>10.826627651792233</v>
      </c>
      <c r="E16">
        <f>'plate 2'!M71</f>
        <v>24.497731691510047</v>
      </c>
      <c r="F16">
        <f>'plate 1'!L71</f>
        <v>4.2244640605296579</v>
      </c>
      <c r="G16">
        <f t="shared" si="0"/>
        <v>13.182941134610644</v>
      </c>
      <c r="H16" s="2">
        <f t="shared" si="1"/>
        <v>10.339995407703197</v>
      </c>
      <c r="I16" s="1" t="str">
        <f t="shared" si="2"/>
        <v>yes</v>
      </c>
    </row>
    <row r="17" spans="1:9" x14ac:dyDescent="0.25">
      <c r="A17" t="s">
        <v>209</v>
      </c>
      <c r="B17" s="2" t="s">
        <v>117</v>
      </c>
      <c r="C17" s="3" t="s">
        <v>357</v>
      </c>
      <c r="D17">
        <f>'plate 3'!L7</f>
        <v>16.093170989941761</v>
      </c>
      <c r="E17">
        <f>'plate 2'!M6</f>
        <v>15.501519756838899</v>
      </c>
      <c r="F17">
        <f>'plate 1'!L6</f>
        <v>8.6933614330874409</v>
      </c>
      <c r="G17">
        <f t="shared" si="0"/>
        <v>13.429350726622701</v>
      </c>
      <c r="H17" s="2">
        <f t="shared" si="1"/>
        <v>4.1121416241137041</v>
      </c>
      <c r="I17" s="1" t="str">
        <f t="shared" si="2"/>
        <v>yes</v>
      </c>
    </row>
    <row r="18" spans="1:9" x14ac:dyDescent="0.25">
      <c r="A18" t="s">
        <v>234</v>
      </c>
      <c r="B18" s="2" t="s">
        <v>141</v>
      </c>
      <c r="C18" s="3" t="s">
        <v>369</v>
      </c>
      <c r="D18">
        <f>'plate 3'!L32</f>
        <v>15.701042873696386</v>
      </c>
      <c r="E18">
        <f>'plate 2'!M31</f>
        <v>16.205752212389363</v>
      </c>
      <c r="F18">
        <f>'plate 1'!L31</f>
        <v>8.4048027444253819</v>
      </c>
      <c r="G18">
        <f t="shared" si="0"/>
        <v>13.437199276837044</v>
      </c>
      <c r="H18" s="2">
        <f t="shared" si="1"/>
        <v>4.3654832520252169</v>
      </c>
      <c r="I18" s="1" t="str">
        <f t="shared" si="2"/>
        <v>yes</v>
      </c>
    </row>
    <row r="19" spans="1:9" x14ac:dyDescent="0.25">
      <c r="A19" t="s">
        <v>239</v>
      </c>
      <c r="B19" t="s">
        <v>147</v>
      </c>
      <c r="C19" s="3" t="s">
        <v>327</v>
      </c>
      <c r="D19">
        <f>'plate 3'!L38</f>
        <v>14.228341939185322</v>
      </c>
      <c r="E19">
        <f>'plate 2'!M37</f>
        <v>17.809798270893378</v>
      </c>
      <c r="F19">
        <f>'plate 1'!L37</f>
        <v>9.8138747884940933</v>
      </c>
      <c r="G19">
        <f t="shared" si="0"/>
        <v>13.950671666190933</v>
      </c>
      <c r="H19" s="2">
        <f t="shared" si="1"/>
        <v>4.005187095439438</v>
      </c>
      <c r="I19" s="1" t="str">
        <f t="shared" si="2"/>
        <v>yes</v>
      </c>
    </row>
    <row r="20" spans="1:9" x14ac:dyDescent="0.25">
      <c r="A20" t="s">
        <v>266</v>
      </c>
      <c r="B20" s="2" t="s">
        <v>173</v>
      </c>
      <c r="C20" s="5" t="s">
        <v>173</v>
      </c>
      <c r="D20">
        <f>'plate 3'!L65</f>
        <v>14.177693761814758</v>
      </c>
      <c r="E20">
        <f>'plate 2'!M64</f>
        <v>14.589855979962421</v>
      </c>
      <c r="F20">
        <f>'plate 1'!L64</f>
        <v>13.229104028863512</v>
      </c>
      <c r="G20">
        <f t="shared" si="0"/>
        <v>13.998884590213564</v>
      </c>
      <c r="H20" s="2">
        <f t="shared" si="1"/>
        <v>0.69777575766961175</v>
      </c>
      <c r="I20" s="1" t="str">
        <f t="shared" si="2"/>
        <v>yes</v>
      </c>
    </row>
    <row r="21" spans="1:9" x14ac:dyDescent="0.25">
      <c r="A21" t="s">
        <v>231</v>
      </c>
      <c r="B21" s="2" t="s">
        <v>139</v>
      </c>
      <c r="C21" s="3" t="s">
        <v>330</v>
      </c>
      <c r="D21">
        <f>'plate 3'!L29</f>
        <v>15.479693937610353</v>
      </c>
      <c r="E21">
        <f>'plate 2'!M28</f>
        <v>15.455665024630546</v>
      </c>
      <c r="F21">
        <f>'plate 1'!L28</f>
        <v>11.633663366336638</v>
      </c>
      <c r="G21">
        <f t="shared" si="0"/>
        <v>14.189674109525845</v>
      </c>
      <c r="H21" s="2">
        <f t="shared" si="1"/>
        <v>2.2136028407640835</v>
      </c>
      <c r="I21" s="1" t="str">
        <f t="shared" si="2"/>
        <v>yes</v>
      </c>
    </row>
    <row r="22" spans="1:9" x14ac:dyDescent="0.25">
      <c r="A22" t="s">
        <v>252</v>
      </c>
      <c r="B22" s="2" t="s">
        <v>160</v>
      </c>
      <c r="C22" s="3" t="s">
        <v>314</v>
      </c>
      <c r="D22">
        <f>'plate 3'!L51</f>
        <v>18.53146853146853</v>
      </c>
      <c r="E22">
        <f>'plate 2'!M50</f>
        <v>14.535901926444822</v>
      </c>
      <c r="F22">
        <f>'plate 1'!L50</f>
        <v>9.5465393794749485</v>
      </c>
      <c r="G22">
        <f t="shared" si="0"/>
        <v>14.204636612462769</v>
      </c>
      <c r="H22" s="2">
        <f t="shared" si="1"/>
        <v>4.5016153209455485</v>
      </c>
      <c r="I22" s="1" t="str">
        <f t="shared" si="2"/>
        <v>yes</v>
      </c>
    </row>
    <row r="23" spans="1:9" x14ac:dyDescent="0.25">
      <c r="A23" t="s">
        <v>233</v>
      </c>
      <c r="B23" t="s">
        <v>107</v>
      </c>
      <c r="C23" s="5" t="s">
        <v>107</v>
      </c>
      <c r="D23">
        <f>'plate 3'!L31</f>
        <v>18.382352941176467</v>
      </c>
      <c r="E23">
        <f>'plate 2'!M30</f>
        <v>19.284064665127016</v>
      </c>
      <c r="F23">
        <f>'plate 1'!L30</f>
        <v>6.3417498532002528</v>
      </c>
      <c r="G23">
        <f t="shared" si="0"/>
        <v>14.669389153167913</v>
      </c>
      <c r="H23" s="2">
        <f t="shared" si="1"/>
        <v>7.2260261029871611</v>
      </c>
      <c r="I23" s="1" t="str">
        <f t="shared" si="2"/>
        <v>yes</v>
      </c>
    </row>
    <row r="24" spans="1:9" x14ac:dyDescent="0.25">
      <c r="A24" t="s">
        <v>205</v>
      </c>
      <c r="B24" t="s">
        <v>113</v>
      </c>
      <c r="C24" s="3" t="s">
        <v>304</v>
      </c>
      <c r="D24">
        <f>'plate 3'!L3</f>
        <v>17.006802721088434</v>
      </c>
      <c r="E24">
        <f>'plate 2'!M2</f>
        <v>12.785670166769625</v>
      </c>
      <c r="F24">
        <f>'plate 1'!L2</f>
        <v>14.641943734015348</v>
      </c>
      <c r="G24">
        <f t="shared" si="0"/>
        <v>14.811472207291137</v>
      </c>
      <c r="H24" s="2">
        <f t="shared" si="1"/>
        <v>2.1156665469116045</v>
      </c>
      <c r="I24" s="1" t="str">
        <f t="shared" si="2"/>
        <v>yes</v>
      </c>
    </row>
    <row r="25" spans="1:9" x14ac:dyDescent="0.25">
      <c r="A25" t="s">
        <v>208</v>
      </c>
      <c r="B25" t="s">
        <v>116</v>
      </c>
      <c r="C25" s="3" t="s">
        <v>347</v>
      </c>
      <c r="D25">
        <f>'plate 3'!L6</f>
        <v>20.798569725864116</v>
      </c>
      <c r="E25">
        <f>'plate 2'!M5</f>
        <v>16.705336426914151</v>
      </c>
      <c r="F25">
        <f>'plate 1'!L5</f>
        <v>8.4434233199310995</v>
      </c>
      <c r="G25">
        <f t="shared" si="0"/>
        <v>15.315776490903124</v>
      </c>
      <c r="H25" s="2">
        <f t="shared" si="1"/>
        <v>6.2936927387532275</v>
      </c>
      <c r="I25" s="1" t="str">
        <f t="shared" si="2"/>
        <v>yes</v>
      </c>
    </row>
    <row r="26" spans="1:9" x14ac:dyDescent="0.25">
      <c r="A26" t="s">
        <v>248</v>
      </c>
      <c r="B26" t="s">
        <v>156</v>
      </c>
      <c r="C26" s="3" t="s">
        <v>360</v>
      </c>
      <c r="D26">
        <f>'plate 3'!L47</f>
        <v>19.05594405594406</v>
      </c>
      <c r="E26">
        <f>'plate 2'!M46</f>
        <v>17.151162790697658</v>
      </c>
      <c r="F26">
        <f>'plate 1'!L46</f>
        <v>11.926058437686354</v>
      </c>
      <c r="G26">
        <f t="shared" si="0"/>
        <v>16.044388428109357</v>
      </c>
      <c r="H26" s="2">
        <f t="shared" si="1"/>
        <v>3.6915483675040162</v>
      </c>
      <c r="I26" s="1" t="str">
        <f t="shared" si="2"/>
        <v>yes</v>
      </c>
    </row>
    <row r="27" spans="1:9" x14ac:dyDescent="0.25">
      <c r="A27" t="s">
        <v>272</v>
      </c>
      <c r="B27" t="s">
        <v>179</v>
      </c>
      <c r="C27" s="3" t="s">
        <v>307</v>
      </c>
      <c r="D27">
        <f>'plate 3'!L71</f>
        <v>23.255813953488364</v>
      </c>
      <c r="E27">
        <f>'plate 2'!M70</f>
        <v>15.850986121256391</v>
      </c>
      <c r="F27">
        <f>'plate 1'!L70</f>
        <v>9.5862068965517402</v>
      </c>
      <c r="G27">
        <f t="shared" si="0"/>
        <v>16.231002323765498</v>
      </c>
      <c r="H27" s="2">
        <f t="shared" si="1"/>
        <v>6.8427223024458579</v>
      </c>
      <c r="I27" s="1" t="str">
        <f t="shared" si="2"/>
        <v>yes</v>
      </c>
    </row>
    <row r="28" spans="1:9" x14ac:dyDescent="0.25">
      <c r="A28" t="s">
        <v>216</v>
      </c>
      <c r="B28" s="4" t="s">
        <v>124</v>
      </c>
      <c r="C28" s="3" t="s">
        <v>371</v>
      </c>
      <c r="D28">
        <f>'plate 3'!L14</f>
        <v>18.717948717948701</v>
      </c>
      <c r="E28">
        <f>'plate 2'!M13</f>
        <v>15.500000000000025</v>
      </c>
      <c r="F28">
        <f>'plate 1'!L13</f>
        <v>14.977109221713524</v>
      </c>
      <c r="G28">
        <f t="shared" si="0"/>
        <v>16.398352646554084</v>
      </c>
      <c r="H28" s="2">
        <f t="shared" si="1"/>
        <v>2.0257709994780249</v>
      </c>
      <c r="I28" s="1" t="str">
        <f t="shared" si="2"/>
        <v>yes</v>
      </c>
    </row>
    <row r="29" spans="1:9" x14ac:dyDescent="0.25">
      <c r="A29" t="s">
        <v>269</v>
      </c>
      <c r="B29" t="s">
        <v>176</v>
      </c>
      <c r="C29" s="5" t="s">
        <v>176</v>
      </c>
      <c r="D29">
        <f>'plate 3'!L68</f>
        <v>19.228521332554067</v>
      </c>
      <c r="E29">
        <f>'plate 2'!M67</f>
        <v>18.653736451796924</v>
      </c>
      <c r="F29">
        <f>'plate 1'!L67</f>
        <v>13.577464788732401</v>
      </c>
      <c r="G29">
        <f t="shared" si="0"/>
        <v>17.153240857694463</v>
      </c>
      <c r="H29" s="2">
        <f t="shared" si="1"/>
        <v>3.1100201424280365</v>
      </c>
      <c r="I29" s="1" t="str">
        <f t="shared" si="2"/>
        <v>yes</v>
      </c>
    </row>
    <row r="30" spans="1:9" x14ac:dyDescent="0.25">
      <c r="A30" t="s">
        <v>253</v>
      </c>
      <c r="B30" s="2" t="s">
        <v>161</v>
      </c>
      <c r="C30" s="3" t="s">
        <v>315</v>
      </c>
      <c r="D30">
        <f>'plate 3'!L52</f>
        <v>18.884594146880183</v>
      </c>
      <c r="E30">
        <f>'plate 2'!M51</f>
        <v>17.816742081447963</v>
      </c>
      <c r="F30">
        <f>'plate 1'!L51</f>
        <v>15.393452039058008</v>
      </c>
      <c r="G30">
        <f t="shared" si="0"/>
        <v>17.364929422462051</v>
      </c>
      <c r="H30" s="2">
        <f t="shared" si="1"/>
        <v>1.7888877307889401</v>
      </c>
      <c r="I30" s="1" t="str">
        <f t="shared" si="2"/>
        <v>yes</v>
      </c>
    </row>
    <row r="31" spans="1:9" x14ac:dyDescent="0.25">
      <c r="A31" t="s">
        <v>245</v>
      </c>
      <c r="B31" s="2" t="s">
        <v>153</v>
      </c>
      <c r="C31" s="5" t="s">
        <v>153</v>
      </c>
      <c r="D31">
        <f>'plate 3'!L44</f>
        <v>14.187799862919839</v>
      </c>
      <c r="E31">
        <f>'plate 2'!M43</f>
        <v>22.776280323450127</v>
      </c>
      <c r="F31">
        <f>'plate 1'!L43</f>
        <v>15.439856373429095</v>
      </c>
      <c r="G31">
        <f t="shared" si="0"/>
        <v>17.467978853266356</v>
      </c>
      <c r="H31" s="2">
        <f t="shared" si="1"/>
        <v>4.6395538309349869</v>
      </c>
      <c r="I31" s="1" t="str">
        <f t="shared" si="2"/>
        <v>yes</v>
      </c>
    </row>
    <row r="32" spans="1:9" x14ac:dyDescent="0.25">
      <c r="A32" t="s">
        <v>287</v>
      </c>
      <c r="B32" s="4" t="s">
        <v>194</v>
      </c>
      <c r="C32" s="3" t="s">
        <v>351</v>
      </c>
      <c r="D32">
        <f>'plate 3'!L86</f>
        <v>24.405908798972394</v>
      </c>
      <c r="E32">
        <f>'plate 2'!M85</f>
        <v>18.482490272373539</v>
      </c>
      <c r="F32">
        <f>'plate 1'!L85</f>
        <v>10.999371464487737</v>
      </c>
      <c r="G32">
        <f t="shared" si="0"/>
        <v>17.962590178611222</v>
      </c>
      <c r="H32" s="2">
        <f t="shared" si="1"/>
        <v>6.7183727870559116</v>
      </c>
      <c r="I32" s="1" t="str">
        <f t="shared" si="2"/>
        <v>yes</v>
      </c>
    </row>
    <row r="33" spans="1:9" x14ac:dyDescent="0.25">
      <c r="A33" t="s">
        <v>238</v>
      </c>
      <c r="B33" t="s">
        <v>146</v>
      </c>
      <c r="C33" s="5" t="s">
        <v>146</v>
      </c>
      <c r="D33">
        <f>'plate 3'!L37</f>
        <v>16.412742382271468</v>
      </c>
      <c r="E33">
        <f>'plate 2'!M36</f>
        <v>24.222797927461148</v>
      </c>
      <c r="F33">
        <f>'plate 1'!L36</f>
        <v>14.450474898236118</v>
      </c>
      <c r="G33">
        <f t="shared" si="0"/>
        <v>18.362005069322912</v>
      </c>
      <c r="H33" s="2">
        <f t="shared" si="1"/>
        <v>5.1695544405904768</v>
      </c>
      <c r="I33" s="1" t="str">
        <f t="shared" si="2"/>
        <v>yes</v>
      </c>
    </row>
    <row r="34" spans="1:9" x14ac:dyDescent="0.25">
      <c r="A34" t="s">
        <v>260</v>
      </c>
      <c r="B34" t="s">
        <v>167</v>
      </c>
      <c r="C34" s="3" t="s">
        <v>355</v>
      </c>
      <c r="D34">
        <f>'plate 3'!L59</f>
        <v>18.478260869565219</v>
      </c>
      <c r="E34">
        <f>'plate 2'!M58</f>
        <v>20.762155059132713</v>
      </c>
      <c r="F34">
        <f>'plate 1'!L58</f>
        <v>19.115815691158176</v>
      </c>
      <c r="G34">
        <f t="shared" ref="G34:G65" si="3">AVERAGE(D34:F34)</f>
        <v>19.4520772066187</v>
      </c>
      <c r="H34" s="2">
        <f t="shared" ref="H34:H65" si="4">((STDEV(D34:F34)))</f>
        <v>1.1784935393840299</v>
      </c>
      <c r="I34" s="1" t="str">
        <f t="shared" ref="I34:I65" si="5">IF(AND(D34&lt;$M$2,E34&lt;$M$2,F34&lt;$M$2),"yes","no")</f>
        <v>yes</v>
      </c>
    </row>
    <row r="35" spans="1:9" x14ac:dyDescent="0.25">
      <c r="A35" t="s">
        <v>286</v>
      </c>
      <c r="B35" t="s">
        <v>193</v>
      </c>
      <c r="C35" s="3" t="s">
        <v>353</v>
      </c>
      <c r="D35">
        <f>'plate 3'!L85</f>
        <v>22.953964194373398</v>
      </c>
      <c r="E35">
        <f>'plate 2'!M84</f>
        <v>22.855271774721686</v>
      </c>
      <c r="F35">
        <f>'plate 1'!L84</f>
        <v>15.75000000000003</v>
      </c>
      <c r="G35">
        <f t="shared" si="3"/>
        <v>20.519745323031703</v>
      </c>
      <c r="H35" s="2">
        <f t="shared" si="4"/>
        <v>4.1310153574346664</v>
      </c>
      <c r="I35" s="1" t="str">
        <f t="shared" si="5"/>
        <v>yes</v>
      </c>
    </row>
    <row r="36" spans="1:9" x14ac:dyDescent="0.25">
      <c r="A36" t="s">
        <v>241</v>
      </c>
      <c r="B36" s="2" t="s">
        <v>149</v>
      </c>
      <c r="C36" s="3" t="s">
        <v>317</v>
      </c>
      <c r="D36">
        <f>'plate 3'!L40</f>
        <v>28.017789072426929</v>
      </c>
      <c r="E36">
        <f>'plate 2'!M39</f>
        <v>18.15384615384615</v>
      </c>
      <c r="F36">
        <f>'plate 1'!L39</f>
        <v>15.883402736466405</v>
      </c>
      <c r="G36">
        <f t="shared" si="3"/>
        <v>20.685012654246496</v>
      </c>
      <c r="H36" s="2">
        <f t="shared" si="4"/>
        <v>6.4510414529088207</v>
      </c>
      <c r="I36" s="1" t="str">
        <f t="shared" si="5"/>
        <v>yes</v>
      </c>
    </row>
    <row r="37" spans="1:9" x14ac:dyDescent="0.25">
      <c r="A37" t="s">
        <v>256</v>
      </c>
      <c r="B37" s="2" t="s">
        <v>164</v>
      </c>
      <c r="C37" s="3" t="s">
        <v>324</v>
      </c>
      <c r="D37">
        <f>'plate 3'!L55</f>
        <v>25.669099756691004</v>
      </c>
      <c r="E37">
        <f>'plate 2'!M54</f>
        <v>23.47525891829688</v>
      </c>
      <c r="F37">
        <f>'plate 1'!L54</f>
        <v>16.686320754716991</v>
      </c>
      <c r="G37">
        <f t="shared" si="3"/>
        <v>21.943559809901625</v>
      </c>
      <c r="H37" s="2">
        <f t="shared" si="4"/>
        <v>4.6831780094899838</v>
      </c>
      <c r="I37" s="1" t="str">
        <f t="shared" si="5"/>
        <v>yes</v>
      </c>
    </row>
    <row r="38" spans="1:9" x14ac:dyDescent="0.25">
      <c r="A38" t="s">
        <v>281</v>
      </c>
      <c r="B38" s="4" t="s">
        <v>188</v>
      </c>
      <c r="C38" s="3" t="s">
        <v>311</v>
      </c>
      <c r="D38">
        <f>'plate 3'!L80</f>
        <v>19.109195402298855</v>
      </c>
      <c r="E38">
        <f>'plate 2'!M79</f>
        <v>27.27272727272728</v>
      </c>
      <c r="F38">
        <f>'plate 1'!L79</f>
        <v>20.527670527670544</v>
      </c>
      <c r="G38">
        <f t="shared" si="3"/>
        <v>22.303197734232224</v>
      </c>
      <c r="H38" s="2">
        <f t="shared" si="4"/>
        <v>4.3617869956940822</v>
      </c>
      <c r="I38" s="1" t="str">
        <f t="shared" si="5"/>
        <v>yes</v>
      </c>
    </row>
    <row r="39" spans="1:9" x14ac:dyDescent="0.25">
      <c r="A39" t="s">
        <v>242</v>
      </c>
      <c r="B39" s="2" t="s">
        <v>150</v>
      </c>
      <c r="C39" s="3" t="s">
        <v>306</v>
      </c>
      <c r="D39">
        <f>'plate 3'!L41</f>
        <v>22.466216216216235</v>
      </c>
      <c r="E39">
        <f>'plate 2'!M40</f>
        <v>26.796657381615603</v>
      </c>
      <c r="F39">
        <f>'plate 1'!L40</f>
        <v>18.700114025085515</v>
      </c>
      <c r="G39">
        <f t="shared" si="3"/>
        <v>22.654329207639119</v>
      </c>
      <c r="H39" s="2">
        <f t="shared" si="4"/>
        <v>4.0515482786459982</v>
      </c>
      <c r="I39" s="1" t="str">
        <f t="shared" si="5"/>
        <v>yes</v>
      </c>
    </row>
    <row r="40" spans="1:9" x14ac:dyDescent="0.25">
      <c r="A40" t="s">
        <v>230</v>
      </c>
      <c r="B40" s="4" t="s">
        <v>138</v>
      </c>
      <c r="C40" s="3" t="s">
        <v>328</v>
      </c>
      <c r="D40">
        <f>'plate 3'!L28</f>
        <v>23.128792987188138</v>
      </c>
      <c r="E40">
        <f>'plate 2'!M27</f>
        <v>25.822603719599442</v>
      </c>
      <c r="F40">
        <f>'plate 1'!L27</f>
        <v>19.645390070921987</v>
      </c>
      <c r="G40">
        <f t="shared" si="3"/>
        <v>22.865595592569857</v>
      </c>
      <c r="H40" s="2">
        <f t="shared" si="4"/>
        <v>3.0970060973062767</v>
      </c>
      <c r="I40" s="1" t="str">
        <f t="shared" si="5"/>
        <v>yes</v>
      </c>
    </row>
    <row r="41" spans="1:9" x14ac:dyDescent="0.25">
      <c r="A41" t="s">
        <v>255</v>
      </c>
      <c r="B41" s="2" t="s">
        <v>163</v>
      </c>
      <c r="C41" s="5" t="s">
        <v>163</v>
      </c>
      <c r="D41">
        <f>'plate 3'!L54</f>
        <v>28.459214501510559</v>
      </c>
      <c r="E41">
        <f>'plate 2'!M53</f>
        <v>24.614435533621219</v>
      </c>
      <c r="F41">
        <f>'plate 1'!L53</f>
        <v>18.445404071560755</v>
      </c>
      <c r="G41">
        <f t="shared" si="3"/>
        <v>23.839684702230844</v>
      </c>
      <c r="H41" s="2">
        <f t="shared" si="4"/>
        <v>5.0516610109743052</v>
      </c>
      <c r="I41" s="1" t="str">
        <f t="shared" si="5"/>
        <v>yes</v>
      </c>
    </row>
    <row r="42" spans="1:9" x14ac:dyDescent="0.25">
      <c r="A42" t="s">
        <v>212</v>
      </c>
      <c r="B42" t="s">
        <v>120</v>
      </c>
      <c r="C42" s="3" t="s">
        <v>370</v>
      </c>
      <c r="D42">
        <f>'plate 3'!L10</f>
        <v>23.956326268465006</v>
      </c>
      <c r="E42">
        <f>'plate 2'!M9</f>
        <v>27.833753148614605</v>
      </c>
      <c r="F42">
        <f>'plate 1'!L9</f>
        <v>19.842233009708742</v>
      </c>
      <c r="G42">
        <f t="shared" si="3"/>
        <v>23.877437475596121</v>
      </c>
      <c r="H42" s="2">
        <f t="shared" si="4"/>
        <v>3.9963440935265515</v>
      </c>
      <c r="I42" s="1" t="str">
        <f t="shared" si="5"/>
        <v>yes</v>
      </c>
    </row>
    <row r="43" spans="1:9" x14ac:dyDescent="0.25">
      <c r="A43" t="s">
        <v>227</v>
      </c>
      <c r="B43" t="s">
        <v>135</v>
      </c>
      <c r="C43" s="3" t="s">
        <v>367</v>
      </c>
      <c r="D43">
        <f>'plate 3'!L25</f>
        <v>26.78762006403414</v>
      </c>
      <c r="E43">
        <f>'plate 2'!M24</f>
        <v>23.822869955156957</v>
      </c>
      <c r="F43">
        <f>'plate 1'!L24</f>
        <v>26.648793565683643</v>
      </c>
      <c r="G43">
        <f t="shared" si="3"/>
        <v>25.75309452829158</v>
      </c>
      <c r="H43" s="2">
        <f t="shared" si="4"/>
        <v>1.6730640681727103</v>
      </c>
      <c r="I43" s="1" t="str">
        <f t="shared" si="5"/>
        <v>yes</v>
      </c>
    </row>
    <row r="44" spans="1:9" x14ac:dyDescent="0.25">
      <c r="A44" t="s">
        <v>243</v>
      </c>
      <c r="B44" t="s">
        <v>151</v>
      </c>
      <c r="C44" s="3" t="s">
        <v>305</v>
      </c>
      <c r="D44">
        <f>'plate 3'!L42</f>
        <v>27.908343125734426</v>
      </c>
      <c r="E44">
        <f>'plate 2'!M41</f>
        <v>30.553827006845051</v>
      </c>
      <c r="F44">
        <f>'plate 1'!L41</f>
        <v>21.402439024390269</v>
      </c>
      <c r="G44">
        <f t="shared" si="3"/>
        <v>26.621536385656583</v>
      </c>
      <c r="H44" s="2">
        <f t="shared" si="4"/>
        <v>4.7094457413889703</v>
      </c>
      <c r="I44" s="1" t="str">
        <f t="shared" si="5"/>
        <v>yes</v>
      </c>
    </row>
    <row r="45" spans="1:9" x14ac:dyDescent="0.25">
      <c r="A45" t="s">
        <v>274</v>
      </c>
      <c r="B45" t="s">
        <v>181</v>
      </c>
      <c r="C45" s="3" t="s">
        <v>309</v>
      </c>
      <c r="D45">
        <f>'plate 3'!L73</f>
        <v>30.28967254408062</v>
      </c>
      <c r="E45">
        <f>'plate 2'!M72</f>
        <v>27.735368956743013</v>
      </c>
      <c r="F45">
        <f>'plate 1'!L72</f>
        <v>22.059719683120036</v>
      </c>
      <c r="G45">
        <f t="shared" si="3"/>
        <v>26.694920394647891</v>
      </c>
      <c r="H45" s="2">
        <f t="shared" si="4"/>
        <v>4.2124732558418465</v>
      </c>
      <c r="I45" s="1" t="str">
        <f t="shared" si="5"/>
        <v>yes</v>
      </c>
    </row>
    <row r="46" spans="1:9" x14ac:dyDescent="0.25">
      <c r="A46" t="s">
        <v>246</v>
      </c>
      <c r="B46" t="s">
        <v>154</v>
      </c>
      <c r="C46" s="3" t="s">
        <v>361</v>
      </c>
      <c r="D46">
        <f>'plate 3'!L45</f>
        <v>32.596685082872931</v>
      </c>
      <c r="E46">
        <f>'plate 2'!M44</f>
        <v>32.937062937062933</v>
      </c>
      <c r="F46">
        <f>'plate 1'!L44</f>
        <v>16.483516483516485</v>
      </c>
      <c r="G46">
        <f t="shared" si="3"/>
        <v>27.339088167817451</v>
      </c>
      <c r="H46" s="2">
        <f t="shared" si="4"/>
        <v>9.4027411809351289</v>
      </c>
      <c r="I46" s="1" t="str">
        <f t="shared" si="5"/>
        <v>yes</v>
      </c>
    </row>
    <row r="47" spans="1:9" x14ac:dyDescent="0.25">
      <c r="A47" t="s">
        <v>244</v>
      </c>
      <c r="B47" t="s">
        <v>152</v>
      </c>
      <c r="C47" s="3" t="s">
        <v>325</v>
      </c>
      <c r="D47">
        <f>'plate 3'!L43</f>
        <v>31.239577543079484</v>
      </c>
      <c r="E47">
        <f>'plate 2'!M42</f>
        <v>28.186412128017992</v>
      </c>
      <c r="F47">
        <f>'plate 1'!L42</f>
        <v>23.623348017621144</v>
      </c>
      <c r="G47">
        <f t="shared" si="3"/>
        <v>27.683112562906206</v>
      </c>
      <c r="H47" s="2">
        <f t="shared" si="4"/>
        <v>3.8329780700255704</v>
      </c>
      <c r="I47" s="1" t="str">
        <f t="shared" si="5"/>
        <v>yes</v>
      </c>
    </row>
    <row r="48" spans="1:9" x14ac:dyDescent="0.25">
      <c r="A48" t="s">
        <v>290</v>
      </c>
      <c r="B48" t="s">
        <v>197</v>
      </c>
      <c r="C48" s="3" t="s">
        <v>363</v>
      </c>
      <c r="D48">
        <f>'plate 3'!L89</f>
        <v>37.578475336322867</v>
      </c>
      <c r="E48">
        <f>'plate 2'!M88</f>
        <v>20.444033302497683</v>
      </c>
      <c r="F48">
        <f>'plate 1'!L88</f>
        <v>26.452732003469219</v>
      </c>
      <c r="G48">
        <f t="shared" si="3"/>
        <v>28.158413547429927</v>
      </c>
      <c r="H48" s="2">
        <f t="shared" si="4"/>
        <v>8.6936349187025819</v>
      </c>
      <c r="I48" s="1" t="str">
        <f t="shared" si="5"/>
        <v>yes</v>
      </c>
    </row>
    <row r="49" spans="1:9" x14ac:dyDescent="0.25">
      <c r="A49" t="s">
        <v>258</v>
      </c>
      <c r="B49" t="s">
        <v>108</v>
      </c>
      <c r="C49" s="5" t="s">
        <v>108</v>
      </c>
      <c r="D49">
        <f>'plate 3'!L57</f>
        <v>30.068621334996887</v>
      </c>
      <c r="E49">
        <f>'plate 2'!M56</f>
        <v>31.731361675908804</v>
      </c>
      <c r="F49">
        <f>'plate 1'!L56</f>
        <v>27.433090024330909</v>
      </c>
      <c r="G49">
        <f t="shared" si="3"/>
        <v>29.7443576784122</v>
      </c>
      <c r="H49" s="2">
        <f t="shared" si="4"/>
        <v>2.1674051275490229</v>
      </c>
      <c r="I49" s="1" t="str">
        <f t="shared" si="5"/>
        <v>yes</v>
      </c>
    </row>
    <row r="50" spans="1:9" x14ac:dyDescent="0.25">
      <c r="A50" t="s">
        <v>300</v>
      </c>
      <c r="B50" t="s">
        <v>144</v>
      </c>
      <c r="C50" s="3" t="s">
        <v>339</v>
      </c>
      <c r="D50">
        <f>'plate 3'!L35</f>
        <v>33.738019169329078</v>
      </c>
      <c r="E50">
        <f>'plate 2'!M34</f>
        <v>35.009797517962113</v>
      </c>
      <c r="F50">
        <f>'plate 1'!L34</f>
        <v>20.781758957654745</v>
      </c>
      <c r="G50">
        <f t="shared" si="3"/>
        <v>29.843191881648647</v>
      </c>
      <c r="H50" s="2">
        <f t="shared" si="4"/>
        <v>7.8731524829031212</v>
      </c>
      <c r="I50" s="1" t="str">
        <f t="shared" si="5"/>
        <v>yes</v>
      </c>
    </row>
    <row r="51" spans="1:9" x14ac:dyDescent="0.25">
      <c r="A51" t="s">
        <v>221</v>
      </c>
      <c r="B51" t="s">
        <v>129</v>
      </c>
      <c r="C51" s="3" t="s">
        <v>334</v>
      </c>
      <c r="D51">
        <f>'plate 3'!L19</f>
        <v>28.885037550548837</v>
      </c>
      <c r="E51">
        <f>'plate 2'!M18</f>
        <v>33.71363377067884</v>
      </c>
      <c r="F51">
        <f>'plate 1'!L18</f>
        <v>27.54820936639118</v>
      </c>
      <c r="G51">
        <f t="shared" si="3"/>
        <v>30.048960229206287</v>
      </c>
      <c r="H51" s="2">
        <f t="shared" si="4"/>
        <v>3.2433241470235914</v>
      </c>
      <c r="I51" s="1" t="str">
        <f t="shared" si="5"/>
        <v>yes</v>
      </c>
    </row>
    <row r="52" spans="1:9" x14ac:dyDescent="0.25">
      <c r="A52" t="s">
        <v>264</v>
      </c>
      <c r="B52" t="s">
        <v>171</v>
      </c>
      <c r="C52" s="3" t="s">
        <v>337</v>
      </c>
      <c r="D52">
        <f>'plate 3'!L63</f>
        <v>32.740213523131665</v>
      </c>
      <c r="E52">
        <f>'plate 2'!M62</f>
        <v>33.244680851063855</v>
      </c>
      <c r="F52">
        <f>'plate 1'!L62</f>
        <v>24.471086036671363</v>
      </c>
      <c r="G52">
        <f t="shared" si="3"/>
        <v>30.151993470288961</v>
      </c>
      <c r="H52" s="2">
        <f t="shared" si="4"/>
        <v>4.9262717924649913</v>
      </c>
      <c r="I52" s="1" t="str">
        <f t="shared" si="5"/>
        <v>yes</v>
      </c>
    </row>
    <row r="53" spans="1:9" x14ac:dyDescent="0.25">
      <c r="A53" t="s">
        <v>277</v>
      </c>
      <c r="B53" s="4" t="s">
        <v>184</v>
      </c>
      <c r="C53" s="5" t="s">
        <v>184</v>
      </c>
      <c r="D53">
        <f>'plate 3'!L76</f>
        <v>37.251356238698008</v>
      </c>
      <c r="E53">
        <f>'plate 2'!M75</f>
        <v>30.77905491698596</v>
      </c>
      <c r="F53">
        <f>'plate 1'!L75</f>
        <v>24.348958333333343</v>
      </c>
      <c r="G53">
        <f t="shared" si="3"/>
        <v>30.79312316300577</v>
      </c>
      <c r="H53" s="2">
        <f t="shared" si="4"/>
        <v>6.4512104572513795</v>
      </c>
      <c r="I53" s="1" t="str">
        <f t="shared" si="5"/>
        <v>yes</v>
      </c>
    </row>
    <row r="54" spans="1:9" x14ac:dyDescent="0.25">
      <c r="A54" t="s">
        <v>228</v>
      </c>
      <c r="B54" t="s">
        <v>136</v>
      </c>
      <c r="C54" s="3" t="s">
        <v>329</v>
      </c>
      <c r="D54">
        <f>'plate 3'!L26</f>
        <v>28.947368421052627</v>
      </c>
      <c r="E54">
        <f>'plate 2'!M25</f>
        <v>28.683102826217681</v>
      </c>
      <c r="F54">
        <f>'plate 1'!L25</f>
        <v>34.97652582159624</v>
      </c>
      <c r="G54">
        <f t="shared" si="3"/>
        <v>30.868999022955517</v>
      </c>
      <c r="H54" s="2">
        <f t="shared" si="4"/>
        <v>3.5596757404737245</v>
      </c>
      <c r="I54" s="1" t="str">
        <f t="shared" si="5"/>
        <v>yes</v>
      </c>
    </row>
    <row r="55" spans="1:9" x14ac:dyDescent="0.25">
      <c r="A55" t="s">
        <v>215</v>
      </c>
      <c r="B55" s="2" t="s">
        <v>123</v>
      </c>
      <c r="C55" s="5" t="s">
        <v>123</v>
      </c>
      <c r="D55">
        <f>'plate 3'!L13</f>
        <v>33.063511830635115</v>
      </c>
      <c r="E55">
        <f>'plate 2'!M12</f>
        <v>32.495285983658079</v>
      </c>
      <c r="F55">
        <f>'plate 1'!L12</f>
        <v>27.266962587190864</v>
      </c>
      <c r="G55">
        <f t="shared" si="3"/>
        <v>30.94192013382802</v>
      </c>
      <c r="H55" s="2">
        <f t="shared" si="4"/>
        <v>3.1952628812794455</v>
      </c>
      <c r="I55" s="1" t="str">
        <f t="shared" si="5"/>
        <v>yes</v>
      </c>
    </row>
    <row r="56" spans="1:9" x14ac:dyDescent="0.25">
      <c r="A56" t="s">
        <v>214</v>
      </c>
      <c r="B56" t="s">
        <v>122</v>
      </c>
      <c r="C56" s="3" t="s">
        <v>372</v>
      </c>
      <c r="D56">
        <f>'plate 3'!L12</f>
        <v>28.621169916434535</v>
      </c>
      <c r="E56">
        <f>'plate 2'!M11</f>
        <v>32.096219931271484</v>
      </c>
      <c r="F56">
        <f>'plate 1'!L11</f>
        <v>32.478097622027526</v>
      </c>
      <c r="G56">
        <f t="shared" si="3"/>
        <v>31.065162489911177</v>
      </c>
      <c r="H56" s="2">
        <f t="shared" si="4"/>
        <v>2.125154680742332</v>
      </c>
      <c r="I56" s="1" t="str">
        <f t="shared" si="5"/>
        <v>yes</v>
      </c>
    </row>
    <row r="57" spans="1:9" x14ac:dyDescent="0.25">
      <c r="A57" t="s">
        <v>226</v>
      </c>
      <c r="B57" t="s">
        <v>134</v>
      </c>
      <c r="C57" s="5" t="s">
        <v>134</v>
      </c>
      <c r="D57">
        <f>'plate 3'!L24</f>
        <v>26.524198617221877</v>
      </c>
      <c r="E57">
        <f>'plate 2'!M23</f>
        <v>37.198986058301649</v>
      </c>
      <c r="F57">
        <f>'plate 1'!L23</f>
        <v>29.863985807214664</v>
      </c>
      <c r="G57">
        <f t="shared" si="3"/>
        <v>31.195723494246064</v>
      </c>
      <c r="H57" s="2">
        <f t="shared" si="4"/>
        <v>5.4605783281950577</v>
      </c>
      <c r="I57" s="1" t="str">
        <f t="shared" si="5"/>
        <v>yes</v>
      </c>
    </row>
    <row r="58" spans="1:9" x14ac:dyDescent="0.25">
      <c r="A58" t="s">
        <v>211</v>
      </c>
      <c r="B58" s="2" t="s">
        <v>119</v>
      </c>
      <c r="C58" s="3" t="s">
        <v>366</v>
      </c>
      <c r="D58">
        <f>'plate 3'!L9</f>
        <v>35.858178887993553</v>
      </c>
      <c r="E58">
        <f>'plate 2'!M8</f>
        <v>26.51057401812691</v>
      </c>
      <c r="F58">
        <f>'plate 1'!L8</f>
        <v>32.858161083392716</v>
      </c>
      <c r="G58">
        <f t="shared" si="3"/>
        <v>31.742304663171058</v>
      </c>
      <c r="H58" s="2">
        <f t="shared" si="4"/>
        <v>4.7726597263686168</v>
      </c>
      <c r="I58" s="1" t="str">
        <f t="shared" si="5"/>
        <v>yes</v>
      </c>
    </row>
    <row r="59" spans="1:9" x14ac:dyDescent="0.25">
      <c r="A59" t="s">
        <v>236</v>
      </c>
      <c r="B59" s="2" t="s">
        <v>143</v>
      </c>
      <c r="C59" s="3" t="s">
        <v>368</v>
      </c>
      <c r="D59">
        <f>'plate 3'!L34</f>
        <v>31.102362204724415</v>
      </c>
      <c r="E59">
        <f>'plate 2'!M33</f>
        <v>33.848899464604401</v>
      </c>
      <c r="F59">
        <f>'plate 1'!L33</f>
        <v>31.718842291789727</v>
      </c>
      <c r="G59">
        <f t="shared" si="3"/>
        <v>32.223367987039516</v>
      </c>
      <c r="H59" s="2">
        <f t="shared" si="4"/>
        <v>1.441102481731513</v>
      </c>
      <c r="I59" s="1" t="str">
        <f t="shared" si="5"/>
        <v>yes</v>
      </c>
    </row>
    <row r="60" spans="1:9" x14ac:dyDescent="0.25">
      <c r="A60" t="s">
        <v>262</v>
      </c>
      <c r="B60" t="s">
        <v>169</v>
      </c>
      <c r="C60" s="3" t="s">
        <v>169</v>
      </c>
      <c r="D60">
        <f>'plate 3'!L61</f>
        <v>36.166666666666664</v>
      </c>
      <c r="E60">
        <f>'plate 2'!M60</f>
        <v>38.461538461538467</v>
      </c>
      <c r="F60">
        <f>'plate 1'!L60</f>
        <v>23.886328725038418</v>
      </c>
      <c r="G60">
        <f t="shared" si="3"/>
        <v>32.838177951081185</v>
      </c>
      <c r="H60" s="2">
        <f t="shared" si="4"/>
        <v>7.8369836393267844</v>
      </c>
      <c r="I60" s="1" t="str">
        <f t="shared" si="5"/>
        <v>yes</v>
      </c>
    </row>
    <row r="61" spans="1:9" x14ac:dyDescent="0.25">
      <c r="A61" t="s">
        <v>250</v>
      </c>
      <c r="B61" t="s">
        <v>158</v>
      </c>
      <c r="C61" s="3" t="s">
        <v>343</v>
      </c>
      <c r="D61">
        <f>'plate 3'!L49</f>
        <v>33.719512195121951</v>
      </c>
      <c r="E61">
        <f>'plate 2'!M48</f>
        <v>42.781065088757416</v>
      </c>
      <c r="F61">
        <f>'plate 1'!L48</f>
        <v>22.97772567409142</v>
      </c>
      <c r="G61">
        <f t="shared" si="3"/>
        <v>33.159434319323594</v>
      </c>
      <c r="H61" s="2">
        <f t="shared" si="4"/>
        <v>9.9135426772337656</v>
      </c>
      <c r="I61" s="1" t="str">
        <f t="shared" si="5"/>
        <v>yes</v>
      </c>
    </row>
    <row r="62" spans="1:9" x14ac:dyDescent="0.25">
      <c r="A62" t="s">
        <v>240</v>
      </c>
      <c r="B62" s="2" t="s">
        <v>148</v>
      </c>
      <c r="C62" s="3" t="s">
        <v>335</v>
      </c>
      <c r="D62">
        <f>'plate 3'!L39</f>
        <v>39.562841530054648</v>
      </c>
      <c r="E62">
        <f>'plate 2'!M38</f>
        <v>33.730834752981266</v>
      </c>
      <c r="F62">
        <f>'plate 1'!L38</f>
        <v>26.905829596412563</v>
      </c>
      <c r="G62">
        <f t="shared" si="3"/>
        <v>33.399835293149494</v>
      </c>
      <c r="H62" s="2">
        <f t="shared" si="4"/>
        <v>6.3349947319548754</v>
      </c>
      <c r="I62" s="1" t="str">
        <f t="shared" si="5"/>
        <v>yes</v>
      </c>
    </row>
    <row r="63" spans="1:9" x14ac:dyDescent="0.25">
      <c r="A63" t="s">
        <v>284</v>
      </c>
      <c r="B63" s="2" t="s">
        <v>191</v>
      </c>
      <c r="C63" s="5" t="s">
        <v>191</v>
      </c>
      <c r="D63">
        <f>'plate 3'!L83</f>
        <v>33.179114342366162</v>
      </c>
      <c r="E63">
        <f>'plate 2'!M82</f>
        <v>38.924605493863226</v>
      </c>
      <c r="F63">
        <f>'plate 1'!L82</f>
        <v>28.217522658610271</v>
      </c>
      <c r="G63">
        <f t="shared" si="3"/>
        <v>33.440414164946553</v>
      </c>
      <c r="H63" s="2">
        <f t="shared" si="4"/>
        <v>5.3583219302504315</v>
      </c>
      <c r="I63" s="1" t="str">
        <f t="shared" si="5"/>
        <v>yes</v>
      </c>
    </row>
    <row r="64" spans="1:9" x14ac:dyDescent="0.25">
      <c r="A64" t="s">
        <v>291</v>
      </c>
      <c r="B64" t="s">
        <v>198</v>
      </c>
      <c r="C64" s="3" t="s">
        <v>350</v>
      </c>
      <c r="D64">
        <f>'plate 3'!L90</f>
        <v>42.219466831990076</v>
      </c>
      <c r="E64">
        <f>'plate 2'!M89</f>
        <v>38.107098381070983</v>
      </c>
      <c r="F64">
        <f>'plate 1'!L89</f>
        <v>20.17766497461929</v>
      </c>
      <c r="G64">
        <f t="shared" si="3"/>
        <v>33.501410062560119</v>
      </c>
      <c r="H64" s="2">
        <f t="shared" si="4"/>
        <v>11.720474860062163</v>
      </c>
      <c r="I64" s="1" t="str">
        <f t="shared" si="5"/>
        <v>yes</v>
      </c>
    </row>
    <row r="65" spans="1:9" x14ac:dyDescent="0.25">
      <c r="A65" t="s">
        <v>283</v>
      </c>
      <c r="B65" t="s">
        <v>190</v>
      </c>
      <c r="C65" s="3" t="s">
        <v>318</v>
      </c>
      <c r="D65">
        <f>'plate 3'!L82</f>
        <v>36.891385767790261</v>
      </c>
      <c r="E65">
        <f>'plate 2'!M81</f>
        <v>39.582089552238806</v>
      </c>
      <c r="F65">
        <f>'plate 1'!L81</f>
        <v>24.741081703107039</v>
      </c>
      <c r="G65">
        <f t="shared" si="3"/>
        <v>33.738185674378705</v>
      </c>
      <c r="H65" s="2">
        <f t="shared" si="4"/>
        <v>7.907014709504173</v>
      </c>
      <c r="I65" s="1" t="str">
        <f t="shared" si="5"/>
        <v>yes</v>
      </c>
    </row>
    <row r="66" spans="1:9" x14ac:dyDescent="0.25">
      <c r="A66" t="s">
        <v>278</v>
      </c>
      <c r="B66" s="2" t="s">
        <v>185</v>
      </c>
      <c r="C66" s="3" t="s">
        <v>313</v>
      </c>
      <c r="D66">
        <f>'plate 3'!L77</f>
        <v>38.349514563106801</v>
      </c>
      <c r="E66">
        <f>'plate 2'!M76</f>
        <v>34.827810266406765</v>
      </c>
      <c r="F66">
        <f>'plate 1'!L76</f>
        <v>29.551282051282062</v>
      </c>
      <c r="G66">
        <f t="shared" ref="G66:G97" si="6">AVERAGE(D66:F66)</f>
        <v>34.242868960265206</v>
      </c>
      <c r="H66" s="2">
        <f t="shared" ref="H66:H97" si="7">((STDEV(D66:F66)))</f>
        <v>4.4281871100660792</v>
      </c>
      <c r="I66" s="1" t="str">
        <f t="shared" ref="I66:I97" si="8">IF(AND(D66&lt;$M$2,E66&lt;$M$2,F66&lt;$M$2),"yes","no")</f>
        <v>yes</v>
      </c>
    </row>
    <row r="67" spans="1:9" x14ac:dyDescent="0.25">
      <c r="A67" t="s">
        <v>222</v>
      </c>
      <c r="B67" t="s">
        <v>130</v>
      </c>
      <c r="C67" s="3" t="s">
        <v>336</v>
      </c>
      <c r="D67">
        <f>'plate 3'!L20</f>
        <v>38.189300411522645</v>
      </c>
      <c r="E67">
        <f>'plate 2'!M19</f>
        <v>40.223463687150854</v>
      </c>
      <c r="F67">
        <f>'plate 1'!L19</f>
        <v>28.989976869699319</v>
      </c>
      <c r="G67">
        <f t="shared" si="6"/>
        <v>35.800913656124273</v>
      </c>
      <c r="H67" s="2">
        <f t="shared" si="7"/>
        <v>5.9854907893577121</v>
      </c>
      <c r="I67" s="1" t="str">
        <f t="shared" si="8"/>
        <v>yes</v>
      </c>
    </row>
    <row r="68" spans="1:9" x14ac:dyDescent="0.25">
      <c r="A68" t="s">
        <v>251</v>
      </c>
      <c r="B68" t="s">
        <v>159</v>
      </c>
      <c r="C68" s="5" t="s">
        <v>159</v>
      </c>
      <c r="D68">
        <f>'plate 3'!L50</f>
        <v>35.879629629629619</v>
      </c>
      <c r="E68">
        <f>'plate 2'!M49</f>
        <v>40.242057488653572</v>
      </c>
      <c r="F68">
        <f>'plate 1'!L49</f>
        <v>32.446808510638313</v>
      </c>
      <c r="G68">
        <f t="shared" si="6"/>
        <v>36.189498542973837</v>
      </c>
      <c r="H68" s="2">
        <f t="shared" si="7"/>
        <v>3.9068517651562913</v>
      </c>
      <c r="I68" s="1" t="str">
        <f t="shared" si="8"/>
        <v>yes</v>
      </c>
    </row>
    <row r="69" spans="1:9" x14ac:dyDescent="0.25">
      <c r="A69" t="s">
        <v>247</v>
      </c>
      <c r="B69" s="2" t="s">
        <v>155</v>
      </c>
      <c r="C69" s="3" t="s">
        <v>344</v>
      </c>
      <c r="D69">
        <f>'plate 3'!L46</f>
        <v>45.933014354067005</v>
      </c>
      <c r="E69">
        <f>'plate 2'!M45</f>
        <v>36.808009422850411</v>
      </c>
      <c r="F69">
        <f>'plate 1'!L45</f>
        <v>26.143024618991785</v>
      </c>
      <c r="G69">
        <f t="shared" si="6"/>
        <v>36.294682798636401</v>
      </c>
      <c r="H69" s="2">
        <f t="shared" si="7"/>
        <v>9.9049761027445449</v>
      </c>
      <c r="I69" s="1" t="str">
        <f t="shared" si="8"/>
        <v>yes</v>
      </c>
    </row>
    <row r="70" spans="1:9" x14ac:dyDescent="0.25">
      <c r="A70" t="s">
        <v>289</v>
      </c>
      <c r="B70" t="s">
        <v>196</v>
      </c>
      <c r="C70" s="3" t="s">
        <v>340</v>
      </c>
      <c r="D70">
        <f>'plate 3'!L88</f>
        <v>48.859934853420214</v>
      </c>
      <c r="E70">
        <f>'plate 2'!M87</f>
        <v>33.949416342412476</v>
      </c>
      <c r="F70">
        <f>'plate 1'!L87</f>
        <v>27.977839335180061</v>
      </c>
      <c r="G70">
        <f t="shared" si="6"/>
        <v>36.929063510337585</v>
      </c>
      <c r="H70" s="2">
        <f t="shared" si="7"/>
        <v>10.755194151767759</v>
      </c>
      <c r="I70" s="1" t="str">
        <f t="shared" si="8"/>
        <v>yes</v>
      </c>
    </row>
    <row r="71" spans="1:9" x14ac:dyDescent="0.25">
      <c r="A71" t="s">
        <v>265</v>
      </c>
      <c r="B71" s="4" t="s">
        <v>172</v>
      </c>
      <c r="C71" s="3" t="s">
        <v>338</v>
      </c>
      <c r="D71">
        <f>'plate 3'!L64</f>
        <v>46.061093247588424</v>
      </c>
      <c r="E71">
        <f>'plate 2'!M63</f>
        <v>38.443208895949162</v>
      </c>
      <c r="F71">
        <f>'plate 1'!L63</f>
        <v>26.775147928994087</v>
      </c>
      <c r="G71">
        <f t="shared" si="6"/>
        <v>37.093150024177227</v>
      </c>
      <c r="H71" s="2">
        <f t="shared" si="7"/>
        <v>9.7135943875524422</v>
      </c>
      <c r="I71" s="1" t="str">
        <f t="shared" si="8"/>
        <v>yes</v>
      </c>
    </row>
    <row r="72" spans="1:9" x14ac:dyDescent="0.25">
      <c r="A72" t="s">
        <v>282</v>
      </c>
      <c r="B72" t="s">
        <v>189</v>
      </c>
      <c r="C72" s="3" t="s">
        <v>326</v>
      </c>
      <c r="D72">
        <f>'plate 3'!L81</f>
        <v>35.450104675505941</v>
      </c>
      <c r="E72">
        <f>'plate 2'!M80</f>
        <v>41.810070108349265</v>
      </c>
      <c r="F72">
        <f>'plate 1'!L80</f>
        <v>35.830212234706629</v>
      </c>
      <c r="G72">
        <f t="shared" si="6"/>
        <v>37.696795672853945</v>
      </c>
      <c r="H72" s="2">
        <f t="shared" si="7"/>
        <v>3.5672665130902241</v>
      </c>
      <c r="I72" s="1" t="str">
        <f t="shared" si="8"/>
        <v>yes</v>
      </c>
    </row>
    <row r="73" spans="1:9" x14ac:dyDescent="0.25">
      <c r="A73" t="s">
        <v>261</v>
      </c>
      <c r="B73" t="s">
        <v>168</v>
      </c>
      <c r="C73" s="3" t="s">
        <v>356</v>
      </c>
      <c r="D73">
        <f>'plate 3'!L60</f>
        <v>39.290407358738506</v>
      </c>
      <c r="E73">
        <f>'plate 2'!M59</f>
        <v>42.971887550200819</v>
      </c>
      <c r="F73">
        <f>'plate 1'!L59</f>
        <v>36.005089058524185</v>
      </c>
      <c r="G73">
        <f t="shared" si="6"/>
        <v>39.422461322487834</v>
      </c>
      <c r="H73" s="2">
        <f t="shared" si="7"/>
        <v>3.4852760282240758</v>
      </c>
      <c r="I73" s="1" t="str">
        <f t="shared" si="8"/>
        <v>yes</v>
      </c>
    </row>
    <row r="74" spans="1:9" x14ac:dyDescent="0.25">
      <c r="A74" t="s">
        <v>288</v>
      </c>
      <c r="B74" t="s">
        <v>195</v>
      </c>
      <c r="C74" s="5" t="s">
        <v>195</v>
      </c>
      <c r="D74">
        <f>'plate 3'!L87</f>
        <v>47.820343461030397</v>
      </c>
      <c r="E74">
        <f>'plate 2'!M86</f>
        <v>36.691127418278846</v>
      </c>
      <c r="F74">
        <f>'plate 1'!L86</f>
        <v>37.015362106803217</v>
      </c>
      <c r="G74">
        <f t="shared" si="6"/>
        <v>40.508944328704153</v>
      </c>
      <c r="H74" s="2">
        <f t="shared" si="7"/>
        <v>6.3339324268140631</v>
      </c>
      <c r="I74" s="1" t="str">
        <f t="shared" si="8"/>
        <v>yes</v>
      </c>
    </row>
    <row r="75" spans="1:9" x14ac:dyDescent="0.25">
      <c r="A75" t="s">
        <v>220</v>
      </c>
      <c r="B75" t="s">
        <v>128</v>
      </c>
      <c r="C75" s="3" t="s">
        <v>333</v>
      </c>
      <c r="D75">
        <f>'plate 3'!L18</f>
        <v>44.266851980542057</v>
      </c>
      <c r="E75">
        <f>'plate 2'!M17</f>
        <v>44.005021971123668</v>
      </c>
      <c r="F75">
        <f>'plate 1'!L17</f>
        <v>34.266585514303117</v>
      </c>
      <c r="G75">
        <f t="shared" si="6"/>
        <v>40.846153155322945</v>
      </c>
      <c r="H75" s="2">
        <f t="shared" si="7"/>
        <v>5.6995764312380581</v>
      </c>
      <c r="I75" s="1" t="str">
        <f t="shared" si="8"/>
        <v>yes</v>
      </c>
    </row>
    <row r="76" spans="1:9" x14ac:dyDescent="0.25">
      <c r="A76" t="s">
        <v>217</v>
      </c>
      <c r="B76" t="s">
        <v>125</v>
      </c>
      <c r="C76" s="3" t="s">
        <v>312</v>
      </c>
      <c r="D76">
        <f>'plate 3'!L15</f>
        <v>48.883800801373781</v>
      </c>
      <c r="E76">
        <f>'plate 2'!M14</f>
        <v>38.915094339622641</v>
      </c>
      <c r="F76">
        <f>'plate 1'!L14</f>
        <v>36.767317939609228</v>
      </c>
      <c r="G76">
        <f t="shared" si="6"/>
        <v>41.522071026868552</v>
      </c>
      <c r="H76" s="2">
        <f t="shared" si="7"/>
        <v>6.4652559748815381</v>
      </c>
      <c r="I76" s="1" t="str">
        <f t="shared" si="8"/>
        <v>yes</v>
      </c>
    </row>
    <row r="77" spans="1:9" x14ac:dyDescent="0.25">
      <c r="A77" t="s">
        <v>232</v>
      </c>
      <c r="B77" s="2" t="s">
        <v>140</v>
      </c>
      <c r="C77" s="5" t="s">
        <v>140</v>
      </c>
      <c r="D77">
        <f>'plate 3'!L30</f>
        <v>40.025493945188032</v>
      </c>
      <c r="E77">
        <f>'plate 2'!M29</f>
        <v>48.604060913705588</v>
      </c>
      <c r="F77">
        <f>'plate 1'!L29</f>
        <v>36.55303030303029</v>
      </c>
      <c r="G77">
        <f t="shared" si="6"/>
        <v>41.727528387307963</v>
      </c>
      <c r="H77" s="2">
        <f t="shared" si="7"/>
        <v>6.2031867315502494</v>
      </c>
      <c r="I77" s="1" t="str">
        <f t="shared" si="8"/>
        <v>yes</v>
      </c>
    </row>
    <row r="78" spans="1:9" x14ac:dyDescent="0.25">
      <c r="A78" t="s">
        <v>218</v>
      </c>
      <c r="B78" s="2" t="s">
        <v>126</v>
      </c>
      <c r="C78" s="3" t="s">
        <v>319</v>
      </c>
      <c r="D78">
        <f>'plate 3'!L16</f>
        <v>46.233062330623298</v>
      </c>
      <c r="E78">
        <f>'plate 2'!M15</f>
        <v>46.167349327091884</v>
      </c>
      <c r="F78">
        <f>'plate 1'!L15</f>
        <v>35.519733185102822</v>
      </c>
      <c r="G78">
        <f t="shared" si="6"/>
        <v>42.640048280939332</v>
      </c>
      <c r="H78" s="2">
        <f t="shared" si="7"/>
        <v>6.1664612905382201</v>
      </c>
      <c r="I78" s="1" t="str">
        <f t="shared" si="8"/>
        <v>yes</v>
      </c>
    </row>
    <row r="79" spans="1:9" x14ac:dyDescent="0.25">
      <c r="A79" t="s">
        <v>257</v>
      </c>
      <c r="B79" t="s">
        <v>165</v>
      </c>
      <c r="C79" s="3" t="s">
        <v>323</v>
      </c>
      <c r="D79">
        <f>'plate 3'!L56</f>
        <v>44.405389572349165</v>
      </c>
      <c r="E79">
        <f>'plate 2'!M55</f>
        <v>46.742567994939918</v>
      </c>
      <c r="F79">
        <f>'plate 1'!L55</f>
        <v>37.290098436595244</v>
      </c>
      <c r="G79">
        <f t="shared" si="6"/>
        <v>42.812685334628107</v>
      </c>
      <c r="H79" s="2">
        <f t="shared" si="7"/>
        <v>4.9233957061665432</v>
      </c>
      <c r="I79" s="1" t="str">
        <f t="shared" si="8"/>
        <v>yes</v>
      </c>
    </row>
    <row r="80" spans="1:9" x14ac:dyDescent="0.25">
      <c r="A80" t="s">
        <v>276</v>
      </c>
      <c r="B80" t="s">
        <v>183</v>
      </c>
      <c r="C80" s="3" t="s">
        <v>308</v>
      </c>
      <c r="D80">
        <f>'plate 3'!L75</f>
        <v>46.698393813206437</v>
      </c>
      <c r="E80">
        <f>'plate 2'!M74</f>
        <v>43.966040024257133</v>
      </c>
      <c r="F80">
        <f>'plate 1'!L74</f>
        <v>44.302254722730048</v>
      </c>
      <c r="G80">
        <f t="shared" si="6"/>
        <v>44.98889618673121</v>
      </c>
      <c r="H80" s="2">
        <f t="shared" si="7"/>
        <v>1.4899821079666173</v>
      </c>
      <c r="I80" s="1" t="str">
        <f t="shared" si="8"/>
        <v>yes</v>
      </c>
    </row>
    <row r="81" spans="1:9" x14ac:dyDescent="0.25">
      <c r="A81" t="s">
        <v>279</v>
      </c>
      <c r="B81" t="s">
        <v>186</v>
      </c>
      <c r="C81" s="5" t="s">
        <v>186</v>
      </c>
      <c r="D81">
        <f>'plate 3'!L78</f>
        <v>59.226594301221169</v>
      </c>
      <c r="E81">
        <f>'plate 2'!M77</f>
        <v>59.79836168872086</v>
      </c>
      <c r="F81">
        <f>'plate 1'!L77</f>
        <v>40.930787589498813</v>
      </c>
      <c r="G81">
        <f t="shared" si="6"/>
        <v>53.318581193146947</v>
      </c>
      <c r="H81" s="2">
        <f t="shared" si="7"/>
        <v>10.73195239745737</v>
      </c>
      <c r="I81" s="1" t="str">
        <f t="shared" si="8"/>
        <v>yes</v>
      </c>
    </row>
    <row r="82" spans="1:9" x14ac:dyDescent="0.25">
      <c r="A82" t="s">
        <v>219</v>
      </c>
      <c r="B82" s="2" t="s">
        <v>127</v>
      </c>
      <c r="C82" s="3" t="s">
        <v>332</v>
      </c>
      <c r="D82">
        <f>'plate 3'!L17</f>
        <v>59.199584199584201</v>
      </c>
      <c r="E82">
        <f>'plate 2'!M16</f>
        <v>59.364358683314414</v>
      </c>
      <c r="F82">
        <f>'plate 1'!L16</f>
        <v>43.678160919540232</v>
      </c>
      <c r="G82">
        <f t="shared" si="6"/>
        <v>54.080701267479618</v>
      </c>
      <c r="H82" s="2">
        <f t="shared" si="7"/>
        <v>9.009240918385002</v>
      </c>
      <c r="I82" s="1" t="str">
        <f t="shared" si="8"/>
        <v>yes</v>
      </c>
    </row>
    <row r="83" spans="1:9" x14ac:dyDescent="0.25">
      <c r="A83" t="s">
        <v>229</v>
      </c>
      <c r="B83" t="s">
        <v>137</v>
      </c>
      <c r="C83" s="3" t="s">
        <v>342</v>
      </c>
      <c r="D83">
        <f>'plate 3'!L27</f>
        <v>62.680115273775208</v>
      </c>
      <c r="E83">
        <f>'plate 2'!M26</f>
        <v>58.416602613374337</v>
      </c>
      <c r="F83">
        <f>'plate 1'!L26</f>
        <v>41.243366186504936</v>
      </c>
      <c r="G83">
        <f t="shared" si="6"/>
        <v>54.113361357884827</v>
      </c>
      <c r="H83" s="2">
        <f t="shared" si="7"/>
        <v>11.347773651023198</v>
      </c>
      <c r="I83" s="1" t="str">
        <f t="shared" si="8"/>
        <v>no</v>
      </c>
    </row>
    <row r="84" spans="1:9" x14ac:dyDescent="0.25">
      <c r="A84" t="s">
        <v>285</v>
      </c>
      <c r="B84" t="s">
        <v>192</v>
      </c>
      <c r="C84" s="3" t="s">
        <v>322</v>
      </c>
      <c r="D84">
        <f>'plate 3'!L84</f>
        <v>68.695652173913047</v>
      </c>
      <c r="E84">
        <f>'plate 2'!M83</f>
        <v>55.67567567567567</v>
      </c>
      <c r="F84">
        <f>'plate 1'!L83</f>
        <v>38.705234159779614</v>
      </c>
      <c r="G84">
        <f t="shared" si="6"/>
        <v>54.358854003122779</v>
      </c>
      <c r="H84" s="2">
        <f t="shared" si="7"/>
        <v>15.038510819013737</v>
      </c>
      <c r="I84" s="1" t="str">
        <f t="shared" si="8"/>
        <v>no</v>
      </c>
    </row>
    <row r="85" spans="1:9" x14ac:dyDescent="0.25">
      <c r="A85" t="s">
        <v>271</v>
      </c>
      <c r="B85" t="s">
        <v>178</v>
      </c>
      <c r="C85" s="3" t="s">
        <v>358</v>
      </c>
      <c r="D85">
        <f>'plate 3'!L70</f>
        <v>60.606060606060609</v>
      </c>
      <c r="E85">
        <f>'plate 2'!M69</f>
        <v>65.088038858530666</v>
      </c>
      <c r="F85">
        <f>'plate 1'!L69</f>
        <v>61.392791692119729</v>
      </c>
      <c r="G85">
        <f t="shared" si="6"/>
        <v>62.362297052237004</v>
      </c>
      <c r="H85" s="2">
        <f t="shared" si="7"/>
        <v>2.3931125645016635</v>
      </c>
      <c r="I85" s="1" t="str">
        <f t="shared" si="8"/>
        <v>no</v>
      </c>
    </row>
    <row r="86" spans="1:9" x14ac:dyDescent="0.25">
      <c r="A86" t="s">
        <v>270</v>
      </c>
      <c r="B86" t="s">
        <v>177</v>
      </c>
      <c r="C86" s="3" t="s">
        <v>359</v>
      </c>
      <c r="D86">
        <f>'plate 3'!L69</f>
        <v>61.662531017369737</v>
      </c>
      <c r="E86">
        <f>'plate 2'!M68</f>
        <v>70.385756676557861</v>
      </c>
      <c r="F86">
        <f>'plate 1'!L68</f>
        <v>65.772594752186592</v>
      </c>
      <c r="G86">
        <f t="shared" si="6"/>
        <v>65.940294148704723</v>
      </c>
      <c r="H86" s="2">
        <f t="shared" si="7"/>
        <v>4.3640301088528171</v>
      </c>
      <c r="I86" s="1" t="str">
        <f t="shared" si="8"/>
        <v>no</v>
      </c>
    </row>
    <row r="87" spans="1:9" x14ac:dyDescent="0.25">
      <c r="A87" t="s">
        <v>224</v>
      </c>
      <c r="B87" t="s">
        <v>132</v>
      </c>
      <c r="C87" s="3" t="s">
        <v>349</v>
      </c>
      <c r="D87">
        <f>'plate 3'!L22</f>
        <v>74.696707105719241</v>
      </c>
      <c r="E87">
        <f>'plate 2'!M21</f>
        <v>76.738609112709838</v>
      </c>
      <c r="F87">
        <f>'plate 1'!L21</f>
        <v>60.023041474654391</v>
      </c>
      <c r="G87">
        <f t="shared" si="6"/>
        <v>70.486119231027828</v>
      </c>
      <c r="H87" s="2">
        <f t="shared" si="7"/>
        <v>9.118625886254728</v>
      </c>
      <c r="I87" s="1" t="str">
        <f t="shared" si="8"/>
        <v>no</v>
      </c>
    </row>
    <row r="88" spans="1:9" x14ac:dyDescent="0.25">
      <c r="A88" t="s">
        <v>299</v>
      </c>
      <c r="B88" t="s">
        <v>301</v>
      </c>
      <c r="C88" s="3" t="s">
        <v>301</v>
      </c>
      <c r="D88">
        <f>'plate 3'!L98</f>
        <v>77.281947261663291</v>
      </c>
      <c r="E88">
        <f>'plate 2'!M97</f>
        <v>93.614219881500986</v>
      </c>
      <c r="F88">
        <f>'plate 1'!L97</f>
        <v>81.437908496732035</v>
      </c>
      <c r="G88">
        <f t="shared" si="6"/>
        <v>84.111358546632104</v>
      </c>
      <c r="H88" s="2">
        <f t="shared" si="7"/>
        <v>8.4880082239096595</v>
      </c>
      <c r="I88" s="1" t="str">
        <f t="shared" si="8"/>
        <v>no</v>
      </c>
    </row>
    <row r="89" spans="1:9" x14ac:dyDescent="0.25">
      <c r="A89" t="s">
        <v>249</v>
      </c>
      <c r="B89" t="s">
        <v>157</v>
      </c>
      <c r="C89" s="3" t="s">
        <v>345</v>
      </c>
      <c r="D89">
        <f>'plate 3'!L48</f>
        <v>85.252263906856399</v>
      </c>
      <c r="E89">
        <f>'plate 2'!M47</f>
        <v>93.256997455470739</v>
      </c>
      <c r="F89">
        <f>'plate 1'!L47</f>
        <v>91.162790697674424</v>
      </c>
      <c r="G89">
        <f t="shared" si="6"/>
        <v>89.890684020000535</v>
      </c>
      <c r="H89" s="2">
        <f t="shared" si="7"/>
        <v>4.1512204645880804</v>
      </c>
      <c r="I89" s="1" t="str">
        <f t="shared" si="8"/>
        <v>no</v>
      </c>
    </row>
    <row r="90" spans="1:9" x14ac:dyDescent="0.25">
      <c r="A90" t="s">
        <v>235</v>
      </c>
      <c r="B90" t="s">
        <v>142</v>
      </c>
      <c r="C90" s="5" t="s">
        <v>142</v>
      </c>
      <c r="D90">
        <f>'plate 3'!L33</f>
        <v>84.562211981566833</v>
      </c>
      <c r="E90">
        <f>'plate 2'!M32</f>
        <v>93.01801801801804</v>
      </c>
      <c r="F90">
        <f>'plate 1'!L32</f>
        <v>94.951923076923094</v>
      </c>
      <c r="G90">
        <f t="shared" si="6"/>
        <v>90.844051025502651</v>
      </c>
      <c r="H90" s="2">
        <f t="shared" si="7"/>
        <v>5.5254975816348013</v>
      </c>
      <c r="I90" s="1" t="str">
        <f t="shared" si="8"/>
        <v>no</v>
      </c>
    </row>
    <row r="91" spans="1:9" x14ac:dyDescent="0.25">
      <c r="A91" t="s">
        <v>298</v>
      </c>
      <c r="B91" t="s">
        <v>204</v>
      </c>
      <c r="C91" s="3" t="s">
        <v>364</v>
      </c>
      <c r="D91">
        <f>'plate 3'!L97</f>
        <v>98.018494055482179</v>
      </c>
      <c r="E91">
        <f>'plate 2'!M96</f>
        <v>95.830174374526152</v>
      </c>
      <c r="F91">
        <f>'plate 1'!L96</f>
        <v>88.362652232746967</v>
      </c>
      <c r="G91">
        <f t="shared" si="6"/>
        <v>94.070440220918428</v>
      </c>
      <c r="H91" s="2">
        <f t="shared" si="7"/>
        <v>5.0627382457471297</v>
      </c>
      <c r="I91" s="1" t="str">
        <f t="shared" si="8"/>
        <v>no</v>
      </c>
    </row>
    <row r="92" spans="1:9" x14ac:dyDescent="0.25">
      <c r="A92" t="s">
        <v>292</v>
      </c>
      <c r="B92" t="s">
        <v>199</v>
      </c>
      <c r="C92" s="3" t="s">
        <v>320</v>
      </c>
      <c r="D92">
        <f>'plate 3'!L91</f>
        <v>92.617449664429543</v>
      </c>
      <c r="E92">
        <f>'plate 2'!M90</f>
        <v>99.271844660194191</v>
      </c>
      <c r="F92">
        <f>'plate 1'!L90</f>
        <v>99.514563106796103</v>
      </c>
      <c r="G92">
        <f t="shared" si="6"/>
        <v>97.134619143806617</v>
      </c>
      <c r="H92" s="2">
        <f t="shared" si="7"/>
        <v>3.9138654984735983</v>
      </c>
      <c r="I92" s="1" t="str">
        <f t="shared" si="8"/>
        <v>no</v>
      </c>
    </row>
    <row r="93" spans="1:9" x14ac:dyDescent="0.25">
      <c r="A93" t="s">
        <v>296</v>
      </c>
      <c r="B93" t="s">
        <v>203</v>
      </c>
      <c r="C93" s="3" t="s">
        <v>203</v>
      </c>
      <c r="D93">
        <f>'plate 3'!L95</f>
        <v>100.21929824561404</v>
      </c>
      <c r="E93">
        <f>'plate 2'!M94</f>
        <v>93.300248138957826</v>
      </c>
      <c r="F93">
        <f>'plate 1'!L94</f>
        <v>101.83727034120733</v>
      </c>
      <c r="G93">
        <f t="shared" si="6"/>
        <v>98.452272241926394</v>
      </c>
      <c r="H93" s="2">
        <f t="shared" si="7"/>
        <v>4.5345311437574756</v>
      </c>
      <c r="I93" s="1" t="str">
        <f t="shared" si="8"/>
        <v>no</v>
      </c>
    </row>
    <row r="94" spans="1:9" x14ac:dyDescent="0.25">
      <c r="A94" t="s">
        <v>293</v>
      </c>
      <c r="B94" s="2" t="s">
        <v>200</v>
      </c>
      <c r="C94" s="5" t="s">
        <v>200</v>
      </c>
      <c r="D94">
        <f>'plate 3'!L92</f>
        <v>92.873051224944305</v>
      </c>
      <c r="E94">
        <f>'plate 2'!M91</f>
        <v>101.90217391304346</v>
      </c>
      <c r="F94">
        <f>'plate 1'!L91</f>
        <v>102.0671834625323</v>
      </c>
      <c r="G94">
        <f t="shared" si="6"/>
        <v>98.947469533506691</v>
      </c>
      <c r="H94" s="2">
        <f t="shared" si="7"/>
        <v>5.2612475116082518</v>
      </c>
      <c r="I94" s="1" t="str">
        <f t="shared" si="8"/>
        <v>no</v>
      </c>
    </row>
    <row r="95" spans="1:9" x14ac:dyDescent="0.25">
      <c r="A95" t="s">
        <v>295</v>
      </c>
      <c r="B95" t="s">
        <v>202</v>
      </c>
      <c r="C95" s="5" t="s">
        <v>202</v>
      </c>
      <c r="D95">
        <f>'plate 3'!L94</f>
        <v>96.172248803827742</v>
      </c>
      <c r="E95">
        <f>'plate 2'!M93</f>
        <v>102.61437908496734</v>
      </c>
      <c r="F95">
        <f>'plate 1'!L93</f>
        <v>104.08653846153848</v>
      </c>
      <c r="G95">
        <f t="shared" si="6"/>
        <v>100.95772211677786</v>
      </c>
      <c r="H95" s="2">
        <f t="shared" si="7"/>
        <v>4.2092017567734716</v>
      </c>
      <c r="I95" s="1" t="str">
        <f t="shared" si="8"/>
        <v>no</v>
      </c>
    </row>
    <row r="96" spans="1:9" x14ac:dyDescent="0.25">
      <c r="A96" t="s">
        <v>294</v>
      </c>
      <c r="B96" t="s">
        <v>201</v>
      </c>
      <c r="C96" s="5" t="s">
        <v>201</v>
      </c>
      <c r="D96">
        <f>'plate 3'!L93</f>
        <v>97.54299754299754</v>
      </c>
      <c r="E96">
        <f>'plate 2'!M92</f>
        <v>100</v>
      </c>
      <c r="F96">
        <f>'plate 1'!L92</f>
        <v>108.31295843520783</v>
      </c>
      <c r="G96">
        <f t="shared" si="6"/>
        <v>101.95198532606845</v>
      </c>
      <c r="H96" s="2">
        <f t="shared" si="7"/>
        <v>5.6440853501541524</v>
      </c>
      <c r="I96" s="1" t="str">
        <f t="shared" si="8"/>
        <v>no</v>
      </c>
    </row>
    <row r="97" spans="1:9" x14ac:dyDescent="0.25">
      <c r="A97" t="s">
        <v>297</v>
      </c>
      <c r="B97" s="2" t="s">
        <v>109</v>
      </c>
      <c r="C97" s="3" t="s">
        <v>109</v>
      </c>
      <c r="D97">
        <f>'plate 3'!L96</f>
        <v>94.520547945205479</v>
      </c>
      <c r="E97">
        <f>'plate 2'!M95</f>
        <v>103.80047505938244</v>
      </c>
      <c r="F97">
        <f>'plate 1'!L95</f>
        <v>110.28037383177572</v>
      </c>
      <c r="G97">
        <f t="shared" si="6"/>
        <v>102.86713227878788</v>
      </c>
      <c r="H97" s="2">
        <f t="shared" si="7"/>
        <v>7.9212609194066035</v>
      </c>
      <c r="I97" s="3" t="str">
        <f t="shared" si="8"/>
        <v>no</v>
      </c>
    </row>
    <row r="101" spans="1:9" x14ac:dyDescent="0.25">
      <c r="C101" s="3" t="s">
        <v>377</v>
      </c>
      <c r="D101">
        <f>_xlfn.T.TEST(D$97:F$97,D38:F38,1,2)</f>
        <v>5.1458674124067394E-5</v>
      </c>
    </row>
    <row r="102" spans="1:9" x14ac:dyDescent="0.25">
      <c r="C102" s="3" t="s">
        <v>378</v>
      </c>
      <c r="D102" s="2">
        <f>_xlfn.T.TEST(D$97:F$97,D9:F9,1,2)</f>
        <v>5.2440693150114061E-5</v>
      </c>
    </row>
    <row r="103" spans="1:9" x14ac:dyDescent="0.25">
      <c r="C103" s="3" t="s">
        <v>379</v>
      </c>
      <c r="D103" s="2">
        <f>_xlfn.T.TEST(D$97:F$97,D17:F17,1,2)</f>
        <v>3.2335726737517266E-5</v>
      </c>
    </row>
    <row r="104" spans="1:9" x14ac:dyDescent="0.25">
      <c r="C104" s="3" t="s">
        <v>380</v>
      </c>
      <c r="D104" s="2">
        <f>_xlfn.T.TEST(D$97:F$97,D47:F47,1,2)</f>
        <v>6.0698634755674042E-5</v>
      </c>
    </row>
    <row r="105" spans="1:9" x14ac:dyDescent="0.25">
      <c r="D105" s="2"/>
    </row>
  </sheetData>
  <autoFilter ref="A1:I1">
    <sortState ref="A2:I97">
      <sortCondition ref="G1"/>
    </sortState>
  </autoFilter>
  <sortState ref="A1:I99">
    <sortCondition ref="B1"/>
  </sortState>
  <conditionalFormatting sqref="G1:G1048576">
    <cfRule type="top10" dxfId="0" priority="1" stopIfTrue="1" bottom="1" rank="10"/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12" sqref="J12"/>
    </sheetView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plate 3</vt:lpstr>
      <vt:lpstr>plate 2</vt:lpstr>
      <vt:lpstr>plate 1</vt:lpstr>
      <vt:lpstr>summary</vt:lpstr>
      <vt:lpstr>t0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desiree</dc:creator>
  <cp:lastModifiedBy>Mark Bleackley</cp:lastModifiedBy>
  <dcterms:created xsi:type="dcterms:W3CDTF">2012-04-19T07:40:27Z</dcterms:created>
  <dcterms:modified xsi:type="dcterms:W3CDTF">2013-11-25T02:18:15Z</dcterms:modified>
</cp:coreProperties>
</file>